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eriodo 4\Ingles\"/>
    </mc:Choice>
  </mc:AlternateContent>
  <xr:revisionPtr revIDLastSave="0" documentId="13_ncr:1_{218D393A-B28C-4D33-9B2F-F8072DD55B4E}" xr6:coauthVersionLast="47" xr6:coauthVersionMax="47" xr10:uidLastSave="{00000000-0000-0000-0000-000000000000}"/>
  <bookViews>
    <workbookView xWindow="-120" yWindow="-120" windowWidth="24240" windowHeight="13020" tabRatio="738" activeTab="2" xr2:uid="{00000000-000D-0000-FFFF-FFFF00000000}"/>
  </bookViews>
  <sheets>
    <sheet name="TECNOLOGIA" sheetId="4" r:id="rId1"/>
    <sheet name="INGLES" sheetId="1" r:id="rId2"/>
    <sheet name="EMPRENDIMIENT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4" i="4" l="1"/>
  <c r="Q44" i="4"/>
  <c r="J44" i="4"/>
  <c r="V44" i="4" s="1"/>
  <c r="X44" i="4" s="1"/>
  <c r="U43" i="4"/>
  <c r="Q43" i="4"/>
  <c r="J43" i="4"/>
  <c r="V43" i="4" s="1"/>
  <c r="X43" i="4" s="1"/>
  <c r="U42" i="4"/>
  <c r="Q42" i="4"/>
  <c r="J42" i="4"/>
  <c r="V42" i="4" s="1"/>
  <c r="X42" i="4" s="1"/>
  <c r="U41" i="4"/>
  <c r="Q41" i="4"/>
  <c r="J41" i="4"/>
  <c r="V41" i="4" s="1"/>
  <c r="X41" i="4" s="1"/>
  <c r="U40" i="4"/>
  <c r="Q40" i="4"/>
  <c r="J40" i="4"/>
  <c r="V40" i="4" s="1"/>
  <c r="X40" i="4" s="1"/>
  <c r="U39" i="4"/>
  <c r="Q39" i="4"/>
  <c r="J39" i="4"/>
  <c r="V39" i="4" s="1"/>
  <c r="X39" i="4" s="1"/>
  <c r="U38" i="4"/>
  <c r="Q38" i="4"/>
  <c r="J38" i="4"/>
  <c r="V38" i="4" s="1"/>
  <c r="X38" i="4" s="1"/>
  <c r="U37" i="4"/>
  <c r="Q37" i="4"/>
  <c r="J37" i="4"/>
  <c r="V37" i="4" s="1"/>
  <c r="X37" i="4" s="1"/>
  <c r="U36" i="4"/>
  <c r="Q36" i="4"/>
  <c r="J36" i="4"/>
  <c r="V36" i="4" s="1"/>
  <c r="X36" i="4" s="1"/>
  <c r="U35" i="4"/>
  <c r="Q35" i="4"/>
  <c r="J35" i="4"/>
  <c r="V35" i="4" s="1"/>
  <c r="X35" i="4" s="1"/>
  <c r="U34" i="4"/>
  <c r="Q34" i="4"/>
  <c r="J34" i="4"/>
  <c r="V34" i="4" s="1"/>
  <c r="X34" i="4" s="1"/>
  <c r="U33" i="4"/>
  <c r="Q33" i="4"/>
  <c r="J33" i="4"/>
  <c r="V33" i="4" s="1"/>
  <c r="X33" i="4" s="1"/>
  <c r="U32" i="4"/>
  <c r="Q32" i="4"/>
  <c r="J32" i="4"/>
  <c r="V32" i="4" s="1"/>
  <c r="X32" i="4" s="1"/>
  <c r="U31" i="4"/>
  <c r="Q31" i="4"/>
  <c r="J31" i="4"/>
  <c r="V31" i="4" s="1"/>
  <c r="X31" i="4" s="1"/>
  <c r="U30" i="4"/>
  <c r="Q30" i="4"/>
  <c r="J30" i="4"/>
  <c r="V30" i="4" s="1"/>
  <c r="X30" i="4" s="1"/>
  <c r="U29" i="4"/>
  <c r="Q29" i="4"/>
  <c r="J29" i="4"/>
  <c r="V29" i="4" s="1"/>
  <c r="X29" i="4" s="1"/>
  <c r="U28" i="4"/>
  <c r="Q28" i="4"/>
  <c r="J28" i="4"/>
  <c r="V28" i="4" s="1"/>
  <c r="X28" i="4" s="1"/>
  <c r="U27" i="4"/>
  <c r="Q27" i="4"/>
  <c r="J27" i="4"/>
  <c r="V27" i="4" s="1"/>
  <c r="X27" i="4" s="1"/>
  <c r="U26" i="4"/>
  <c r="Q26" i="4"/>
  <c r="J26" i="4"/>
  <c r="V26" i="4" s="1"/>
  <c r="X26" i="4" s="1"/>
  <c r="U25" i="4"/>
  <c r="Q25" i="4"/>
  <c r="J25" i="4"/>
  <c r="V25" i="4" s="1"/>
  <c r="X25" i="4" s="1"/>
  <c r="U24" i="4"/>
  <c r="Q24" i="4"/>
  <c r="J24" i="4"/>
  <c r="V24" i="4" s="1"/>
  <c r="X24" i="4" s="1"/>
  <c r="U23" i="4"/>
  <c r="Q23" i="4"/>
  <c r="J23" i="4"/>
  <c r="V23" i="4" s="1"/>
  <c r="X23" i="4" s="1"/>
  <c r="U22" i="4"/>
  <c r="Q22" i="4"/>
  <c r="J22" i="4"/>
  <c r="V22" i="4" s="1"/>
  <c r="X22" i="4" s="1"/>
  <c r="U21" i="4"/>
  <c r="Q21" i="4"/>
  <c r="J21" i="4"/>
  <c r="V21" i="4" s="1"/>
  <c r="X21" i="4" s="1"/>
  <c r="U20" i="4"/>
  <c r="Q20" i="4"/>
  <c r="J20" i="4"/>
  <c r="V20" i="4" s="1"/>
  <c r="X20" i="4" s="1"/>
  <c r="U19" i="4"/>
  <c r="Q19" i="4"/>
  <c r="J19" i="4"/>
  <c r="V19" i="4" s="1"/>
  <c r="X19" i="4" s="1"/>
  <c r="U18" i="4"/>
  <c r="Q18" i="4"/>
  <c r="J18" i="4"/>
  <c r="V18" i="4" s="1"/>
  <c r="X18" i="4" s="1"/>
  <c r="U17" i="4"/>
  <c r="Q17" i="4"/>
  <c r="J17" i="4"/>
  <c r="V17" i="4" s="1"/>
  <c r="X17" i="4" s="1"/>
  <c r="U16" i="4"/>
  <c r="Q16" i="4"/>
  <c r="J16" i="4"/>
  <c r="V16" i="4" s="1"/>
  <c r="X16" i="4" s="1"/>
  <c r="U15" i="4"/>
  <c r="Q15" i="4"/>
  <c r="J15" i="4"/>
  <c r="V15" i="4" s="1"/>
  <c r="X15" i="4" s="1"/>
  <c r="U14" i="4"/>
  <c r="Q14" i="4"/>
  <c r="J14" i="4"/>
  <c r="V14" i="4" s="1"/>
  <c r="X14" i="4" s="1"/>
  <c r="U13" i="4"/>
  <c r="Q13" i="4"/>
  <c r="J13" i="4"/>
  <c r="V13" i="4" s="1"/>
  <c r="X13" i="4" s="1"/>
  <c r="U12" i="4"/>
  <c r="Q12" i="4"/>
  <c r="J12" i="4"/>
  <c r="V12" i="4" s="1"/>
  <c r="X12" i="4" s="1"/>
  <c r="U11" i="4"/>
  <c r="Q11" i="4"/>
  <c r="J11" i="4"/>
  <c r="V11" i="4" s="1"/>
  <c r="X11" i="4" s="1"/>
  <c r="U44" i="3"/>
  <c r="Q44" i="3"/>
  <c r="J44" i="3"/>
  <c r="V44" i="3" s="1"/>
  <c r="X44" i="3" s="1"/>
  <c r="U43" i="3"/>
  <c r="Q43" i="3"/>
  <c r="J43" i="3"/>
  <c r="V43" i="3" s="1"/>
  <c r="X43" i="3" s="1"/>
  <c r="U42" i="3"/>
  <c r="Q42" i="3"/>
  <c r="J42" i="3"/>
  <c r="V42" i="3" s="1"/>
  <c r="X42" i="3" s="1"/>
  <c r="U41" i="3"/>
  <c r="Q41" i="3"/>
  <c r="J41" i="3"/>
  <c r="V41" i="3" s="1"/>
  <c r="X41" i="3" s="1"/>
  <c r="U40" i="3"/>
  <c r="Q40" i="3"/>
  <c r="J40" i="3"/>
  <c r="V40" i="3" s="1"/>
  <c r="X40" i="3" s="1"/>
  <c r="U39" i="3"/>
  <c r="Q39" i="3"/>
  <c r="J39" i="3"/>
  <c r="V39" i="3" s="1"/>
  <c r="X39" i="3" s="1"/>
  <c r="U38" i="3"/>
  <c r="Q38" i="3"/>
  <c r="J38" i="3"/>
  <c r="V38" i="3" s="1"/>
  <c r="X38" i="3" s="1"/>
  <c r="U37" i="3"/>
  <c r="Q37" i="3"/>
  <c r="J37" i="3"/>
  <c r="V37" i="3" s="1"/>
  <c r="X37" i="3" s="1"/>
  <c r="U36" i="3"/>
  <c r="Q36" i="3"/>
  <c r="J36" i="3"/>
  <c r="V36" i="3" s="1"/>
  <c r="X36" i="3" s="1"/>
  <c r="U35" i="3"/>
  <c r="Q35" i="3"/>
  <c r="J35" i="3"/>
  <c r="V35" i="3" s="1"/>
  <c r="X35" i="3" s="1"/>
  <c r="U34" i="3"/>
  <c r="Q34" i="3"/>
  <c r="J34" i="3"/>
  <c r="V34" i="3" s="1"/>
  <c r="X34" i="3" s="1"/>
  <c r="U33" i="3"/>
  <c r="Q33" i="3"/>
  <c r="J33" i="3"/>
  <c r="V33" i="3" s="1"/>
  <c r="X33" i="3" s="1"/>
  <c r="U32" i="3"/>
  <c r="Q32" i="3"/>
  <c r="J32" i="3"/>
  <c r="V32" i="3" s="1"/>
  <c r="X32" i="3" s="1"/>
  <c r="U31" i="3"/>
  <c r="Q31" i="3"/>
  <c r="J31" i="3"/>
  <c r="V31" i="3" s="1"/>
  <c r="X31" i="3" s="1"/>
  <c r="U30" i="3"/>
  <c r="Q30" i="3"/>
  <c r="J30" i="3"/>
  <c r="V30" i="3" s="1"/>
  <c r="X30" i="3" s="1"/>
  <c r="U29" i="3"/>
  <c r="Q29" i="3"/>
  <c r="J29" i="3"/>
  <c r="V29" i="3" s="1"/>
  <c r="X29" i="3" s="1"/>
  <c r="U28" i="3"/>
  <c r="Q28" i="3"/>
  <c r="J28" i="3"/>
  <c r="V28" i="3" s="1"/>
  <c r="X28" i="3" s="1"/>
  <c r="U27" i="3"/>
  <c r="Q27" i="3"/>
  <c r="J27" i="3"/>
  <c r="V27" i="3" s="1"/>
  <c r="X27" i="3" s="1"/>
  <c r="U26" i="3"/>
  <c r="Q26" i="3"/>
  <c r="J26" i="3"/>
  <c r="V26" i="3" s="1"/>
  <c r="X26" i="3" s="1"/>
  <c r="U25" i="3"/>
  <c r="Q25" i="3"/>
  <c r="J25" i="3"/>
  <c r="V25" i="3" s="1"/>
  <c r="X25" i="3" s="1"/>
  <c r="U24" i="3"/>
  <c r="Q24" i="3"/>
  <c r="J24" i="3"/>
  <c r="V24" i="3" s="1"/>
  <c r="X24" i="3" s="1"/>
  <c r="U23" i="3"/>
  <c r="Q23" i="3"/>
  <c r="J23" i="3"/>
  <c r="V23" i="3" s="1"/>
  <c r="X23" i="3" s="1"/>
  <c r="U22" i="3"/>
  <c r="Q22" i="3"/>
  <c r="J22" i="3"/>
  <c r="V22" i="3" s="1"/>
  <c r="X22" i="3" s="1"/>
  <c r="U21" i="3"/>
  <c r="Q21" i="3"/>
  <c r="J21" i="3"/>
  <c r="V21" i="3" s="1"/>
  <c r="X21" i="3" s="1"/>
  <c r="U20" i="3"/>
  <c r="Q20" i="3"/>
  <c r="J20" i="3"/>
  <c r="V20" i="3" s="1"/>
  <c r="X20" i="3" s="1"/>
  <c r="U19" i="3"/>
  <c r="Q19" i="3"/>
  <c r="J19" i="3"/>
  <c r="V19" i="3" s="1"/>
  <c r="X19" i="3" s="1"/>
  <c r="U18" i="3"/>
  <c r="Q18" i="3"/>
  <c r="J18" i="3"/>
  <c r="V18" i="3" s="1"/>
  <c r="X18" i="3" s="1"/>
  <c r="U17" i="3"/>
  <c r="Q17" i="3"/>
  <c r="J17" i="3"/>
  <c r="V17" i="3" s="1"/>
  <c r="X17" i="3" s="1"/>
  <c r="U16" i="3"/>
  <c r="Q16" i="3"/>
  <c r="J16" i="3"/>
  <c r="V16" i="3" s="1"/>
  <c r="X16" i="3" s="1"/>
  <c r="U15" i="3"/>
  <c r="Q15" i="3"/>
  <c r="J15" i="3"/>
  <c r="V15" i="3" s="1"/>
  <c r="X15" i="3" s="1"/>
  <c r="U14" i="3"/>
  <c r="Q14" i="3"/>
  <c r="J14" i="3"/>
  <c r="V14" i="3" s="1"/>
  <c r="X14" i="3" s="1"/>
  <c r="U13" i="3"/>
  <c r="Q13" i="3"/>
  <c r="J13" i="3"/>
  <c r="V13" i="3" s="1"/>
  <c r="X13" i="3" s="1"/>
  <c r="U12" i="3"/>
  <c r="Q12" i="3"/>
  <c r="J12" i="3"/>
  <c r="V12" i="3" s="1"/>
  <c r="X12" i="3" s="1"/>
  <c r="U11" i="3"/>
  <c r="Q11" i="3"/>
  <c r="J11" i="3"/>
  <c r="V11" i="3" s="1"/>
  <c r="X11" i="3" s="1"/>
  <c r="U44" i="1"/>
  <c r="Q44" i="1"/>
  <c r="J44" i="1"/>
  <c r="U43" i="1"/>
  <c r="Q43" i="1"/>
  <c r="J43" i="1"/>
  <c r="U42" i="1"/>
  <c r="Q42" i="1"/>
  <c r="J42" i="1"/>
  <c r="U41" i="1"/>
  <c r="Q41" i="1"/>
  <c r="J41" i="1"/>
  <c r="U40" i="1"/>
  <c r="Q40" i="1"/>
  <c r="J40" i="1"/>
  <c r="U39" i="1"/>
  <c r="Q39" i="1"/>
  <c r="J39" i="1"/>
  <c r="U38" i="1"/>
  <c r="Q38" i="1"/>
  <c r="J38" i="1"/>
  <c r="U37" i="1"/>
  <c r="Q37" i="1"/>
  <c r="J37" i="1"/>
  <c r="U36" i="1"/>
  <c r="Q36" i="1"/>
  <c r="J36" i="1"/>
  <c r="U35" i="1"/>
  <c r="Q35" i="1"/>
  <c r="J35" i="1"/>
  <c r="U34" i="1"/>
  <c r="Q34" i="1"/>
  <c r="J34" i="1"/>
  <c r="U33" i="1"/>
  <c r="Q33" i="1"/>
  <c r="J33" i="1"/>
  <c r="U32" i="1"/>
  <c r="Q32" i="1"/>
  <c r="J32" i="1"/>
  <c r="U31" i="1"/>
  <c r="Q31" i="1"/>
  <c r="J31" i="1"/>
  <c r="U30" i="1"/>
  <c r="Q30" i="1"/>
  <c r="J30" i="1"/>
  <c r="U29" i="1"/>
  <c r="Q29" i="1"/>
  <c r="J29" i="1"/>
  <c r="U28" i="1"/>
  <c r="Q28" i="1"/>
  <c r="J28" i="1"/>
  <c r="U27" i="1"/>
  <c r="Q27" i="1"/>
  <c r="J27" i="1"/>
  <c r="U26" i="1"/>
  <c r="Q26" i="1"/>
  <c r="J26" i="1"/>
  <c r="U25" i="1"/>
  <c r="Q25" i="1"/>
  <c r="J25" i="1"/>
  <c r="U24" i="1"/>
  <c r="Q24" i="1"/>
  <c r="J24" i="1"/>
  <c r="U23" i="1"/>
  <c r="Q23" i="1"/>
  <c r="J23" i="1"/>
  <c r="U22" i="1"/>
  <c r="Q22" i="1"/>
  <c r="J22" i="1"/>
  <c r="U21" i="1"/>
  <c r="Q21" i="1"/>
  <c r="J21" i="1"/>
  <c r="U20" i="1"/>
  <c r="Q20" i="1"/>
  <c r="J20" i="1"/>
  <c r="U19" i="1"/>
  <c r="Q19" i="1"/>
  <c r="J19" i="1"/>
  <c r="U18" i="1"/>
  <c r="Q18" i="1"/>
  <c r="J18" i="1"/>
  <c r="U17" i="1"/>
  <c r="Q17" i="1"/>
  <c r="J17" i="1"/>
  <c r="U16" i="1"/>
  <c r="Q16" i="1"/>
  <c r="J16" i="1"/>
  <c r="U15" i="1"/>
  <c r="Q15" i="1"/>
  <c r="J15" i="1"/>
  <c r="U13" i="1"/>
  <c r="Q13" i="1"/>
  <c r="J13" i="1"/>
  <c r="U12" i="1"/>
  <c r="Q12" i="1"/>
  <c r="J12" i="1"/>
  <c r="U11" i="1"/>
  <c r="Q11" i="1"/>
  <c r="J11" i="1"/>
  <c r="U14" i="1"/>
  <c r="Q14" i="1"/>
  <c r="J14" i="1"/>
  <c r="V38" i="1" l="1"/>
  <c r="X38" i="1" s="1"/>
  <c r="V21" i="1"/>
  <c r="X21" i="1" s="1"/>
  <c r="V20" i="1"/>
  <c r="X20" i="1" s="1"/>
  <c r="V35" i="1"/>
  <c r="X35" i="1" s="1"/>
  <c r="V37" i="1"/>
  <c r="X37" i="1" s="1"/>
  <c r="V36" i="1"/>
  <c r="X36" i="1" s="1"/>
  <c r="V12" i="1"/>
  <c r="X12" i="1" s="1"/>
  <c r="V13" i="1"/>
  <c r="X13" i="1" s="1"/>
  <c r="V28" i="1"/>
  <c r="X28" i="1" s="1"/>
  <c r="V29" i="1"/>
  <c r="X29" i="1" s="1"/>
  <c r="V43" i="1"/>
  <c r="X43" i="1" s="1"/>
  <c r="V44" i="1"/>
  <c r="X44" i="1" s="1"/>
  <c r="V32" i="1"/>
  <c r="X32" i="1" s="1"/>
  <c r="V24" i="1"/>
  <c r="X24" i="1" s="1"/>
  <c r="V40" i="1"/>
  <c r="X40" i="1" s="1"/>
  <c r="V11" i="1"/>
  <c r="X11" i="1" s="1"/>
  <c r="V17" i="1"/>
  <c r="X17" i="1" s="1"/>
  <c r="V18" i="1"/>
  <c r="X18" i="1" s="1"/>
  <c r="V19" i="1"/>
  <c r="X19" i="1" s="1"/>
  <c r="V25" i="1"/>
  <c r="X25" i="1" s="1"/>
  <c r="V26" i="1"/>
  <c r="X26" i="1" s="1"/>
  <c r="V27" i="1"/>
  <c r="X27" i="1" s="1"/>
  <c r="V33" i="1"/>
  <c r="X33" i="1" s="1"/>
  <c r="V34" i="1"/>
  <c r="X34" i="1" s="1"/>
  <c r="V41" i="1"/>
  <c r="X41" i="1" s="1"/>
  <c r="V42" i="1"/>
  <c r="X42" i="1" s="1"/>
  <c r="V14" i="1"/>
  <c r="V15" i="1"/>
  <c r="X15" i="1" s="1"/>
  <c r="V16" i="1"/>
  <c r="X16" i="1" s="1"/>
  <c r="V22" i="1"/>
  <c r="X22" i="1" s="1"/>
  <c r="V23" i="1"/>
  <c r="X23" i="1" s="1"/>
  <c r="V30" i="1"/>
  <c r="X30" i="1" s="1"/>
  <c r="V31" i="1"/>
  <c r="X31" i="1" s="1"/>
  <c r="V39" i="1"/>
  <c r="X39" i="1" s="1"/>
  <c r="X1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PERSONAL</author>
  </authors>
  <commentList>
    <comment ref="B14" authorId="0" shapeId="0" xr:uid="{34DC417C-C8A8-474F-B582-285A0B335007}">
      <text>
        <r>
          <rPr>
            <b/>
            <sz val="9"/>
            <color indexed="81"/>
            <rFont val="Tahoma"/>
            <family val="2"/>
          </rPr>
          <t>PERSONAL:</t>
        </r>
        <r>
          <rPr>
            <sz val="9"/>
            <color indexed="81"/>
            <rFont val="Tahoma"/>
            <family val="2"/>
          </rPr>
          <t xml:space="preserve">
Estar pendiente de ella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PERSONAL</author>
  </authors>
  <commentList>
    <comment ref="B14" authorId="0" shapeId="0" xr:uid="{206D2E08-6B19-4625-93A9-37594F9254F8}">
      <text>
        <r>
          <rPr>
            <b/>
            <sz val="9"/>
            <color indexed="81"/>
            <rFont val="Tahoma"/>
            <family val="2"/>
          </rPr>
          <t>PERSONAL:</t>
        </r>
        <r>
          <rPr>
            <sz val="9"/>
            <color indexed="81"/>
            <rFont val="Tahoma"/>
            <family val="2"/>
          </rPr>
          <t xml:space="preserve">
Estar pendiente de ella</t>
        </r>
      </text>
    </comment>
  </commentList>
</comments>
</file>

<file path=xl/sharedStrings.xml><?xml version="1.0" encoding="utf-8"?>
<sst xmlns="http://schemas.openxmlformats.org/spreadsheetml/2006/main" count="150" uniqueCount="54">
  <si>
    <t>Por: Leandro Copete Garrido</t>
  </si>
  <si>
    <t>INSTITUCION EDUCATIVA TECNICA CAMACHO ANGARITA</t>
  </si>
  <si>
    <t>Especialidad Agroindustria Alimentaria</t>
  </si>
  <si>
    <t>NIT 800 006 889 – 1 REGISTRO EDUCATIVO  JORNADA MAÑANA 043067 REGISTRO DANE 273168002803</t>
  </si>
  <si>
    <t>APROBADO POR RESOLUCIÓN No. 7910 DE 20 DE Noviembre DE 2018</t>
  </si>
  <si>
    <t>Area:</t>
  </si>
  <si>
    <t>Periodo</t>
  </si>
  <si>
    <t>Grado:</t>
  </si>
  <si>
    <t>Nº</t>
  </si>
  <si>
    <t xml:space="preserve">NOMBRE DEL ESTUDIANTE  </t>
  </si>
  <si>
    <t xml:space="preserve">Saber saber (Cognitivo)  </t>
  </si>
  <si>
    <t>Saber Hacer (Procedimental)</t>
  </si>
  <si>
    <t>Saber ser (Aptitudinal)</t>
  </si>
  <si>
    <t xml:space="preserve">Nota Final Parcial </t>
  </si>
  <si>
    <t>Recuperacion</t>
  </si>
  <si>
    <t>Nota final 100%</t>
  </si>
  <si>
    <t>Coevaluacion</t>
  </si>
  <si>
    <t>Heteroevaluacion</t>
  </si>
  <si>
    <t>Autoevaluacion</t>
  </si>
  <si>
    <t>Resolución de problemas</t>
  </si>
  <si>
    <t>Organización</t>
  </si>
  <si>
    <t>Comunicación</t>
  </si>
  <si>
    <t>Uso de herramientas</t>
  </si>
  <si>
    <t>Comunicación oral y esctrita</t>
  </si>
  <si>
    <t>Responsabilidad</t>
  </si>
  <si>
    <t>El limón – Chaparral  Tolima</t>
  </si>
  <si>
    <t>INGLES</t>
  </si>
  <si>
    <t xml:space="preserve">COLLAZOS AGUDELO DARYI </t>
  </si>
  <si>
    <t>COLLAZOS AGUDELO ELIZABETH</t>
  </si>
  <si>
    <t>DIAZ IPUZ MARIA VALENTINA</t>
  </si>
  <si>
    <t>DUCUARA LOZADA EDNA YOHANA</t>
  </si>
  <si>
    <t>OTAVO DUCUARA DANA SOFIA</t>
  </si>
  <si>
    <t>RAYO ANDRADE JUAN ESTEBAN</t>
  </si>
  <si>
    <t>ROMERO RODRIGUEZ ANDRES FELIPE</t>
  </si>
  <si>
    <t>VERJAN HERNANDEZ ESTEFANY MARCELA</t>
  </si>
  <si>
    <t>VERJAN SILVA ANA MILENA</t>
  </si>
  <si>
    <t>VILLAREAL RINCON FABER ENRIQUE</t>
  </si>
  <si>
    <t>3A9</t>
  </si>
  <si>
    <t>GRADO OCTAVO Y NOVENO</t>
  </si>
  <si>
    <t>BETANCOURTH ZAMORA KAROL LIZETH</t>
  </si>
  <si>
    <t>DUCUARA MATEUS FLOR MARIA</t>
  </si>
  <si>
    <t>MATEUS GONZALEZ ANGEL DAVID</t>
  </si>
  <si>
    <t>MATEUS GONZALEZ JOHAN ARIEL</t>
  </si>
  <si>
    <t>MENDEZ RADA YADER DAVID</t>
  </si>
  <si>
    <t>OTAVO DUCUARA ALEJANDRA YUDI</t>
  </si>
  <si>
    <t>PERALTA COLORADO KAROL DALLANA</t>
  </si>
  <si>
    <t>VARGAS MATEUS JHOEL ANDRES</t>
  </si>
  <si>
    <t>TECNOLOGIA</t>
  </si>
  <si>
    <t>Malla curricular</t>
  </si>
  <si>
    <t>Guía 1</t>
  </si>
  <si>
    <t>VERJAN SILVA ANA MILENA enviar guias</t>
  </si>
  <si>
    <t>Plan de area</t>
  </si>
  <si>
    <t>6°-9°</t>
  </si>
  <si>
    <t>6° - 9°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</si>
</sst>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rush Script MT"/>
      <family val="4"/>
    </font>
    <font>
      <b/>
      <sz val="10"/>
      <color rgb="FF00B0F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B0F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textRotation="135" wrapText="1"/>
      <protection locked="0"/>
    </xf>
    <xf numFmtId="0" fontId="1" fillId="0" borderId="14" xfId="0" applyFont="1" applyBorder="1" applyAlignment="1">
      <alignment horizontal="center" vertical="center" wrapText="1"/>
    </xf>
    <xf numFmtId="0" fontId="9" fillId="0" borderId="1" xfId="0" applyFont="1" applyBorder="1" applyAlignment="1" applyProtection="1">
      <alignment vertical="center"/>
      <protection locked="0"/>
    </xf>
    <xf numFmtId="0" fontId="10" fillId="0" borderId="1" xfId="0" applyFont="1" applyBorder="1"/>
    <xf numFmtId="1" fontId="7" fillId="2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12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 applyProtection="1">
      <alignment horizontal="right" vertical="center"/>
      <protection locked="0"/>
    </xf>
    <xf numFmtId="0" fontId="0" fillId="0" borderId="1" xfId="0" applyBorder="1" applyAlignment="1">
      <alignment horizontal="right"/>
    </xf>
    <xf numFmtId="16" fontId="1" fillId="0" borderId="1" xfId="0" applyNumberFormat="1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>
      <alignment horizontal="center"/>
    </xf>
    <xf numFmtId="0" fontId="6" fillId="0" borderId="8" xfId="0" applyFont="1" applyBorder="1" applyAlignment="1">
      <alignment horizontal="center" vertical="center" textRotation="90" wrapText="1"/>
    </xf>
    <xf numFmtId="0" fontId="6" fillId="0" borderId="12" xfId="0" applyFont="1" applyBorder="1" applyAlignment="1">
      <alignment horizontal="center" vertical="center" textRotation="90" wrapText="1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6" xfId="0" applyFont="1" applyBorder="1" applyAlignment="1">
      <alignment horizontal="center" vertical="center" textRotation="90" wrapText="1"/>
    </xf>
    <xf numFmtId="0" fontId="1" fillId="2" borderId="5" xfId="0" applyFont="1" applyFill="1" applyBorder="1" applyAlignment="1" applyProtection="1">
      <alignment horizontal="center" vertical="center" textRotation="90" wrapText="1"/>
      <protection locked="0"/>
    </xf>
    <xf numFmtId="0" fontId="1" fillId="2" borderId="14" xfId="0" applyFont="1" applyFill="1" applyBorder="1" applyAlignment="1" applyProtection="1">
      <alignment horizontal="center" vertical="center" textRotation="90" wrapText="1"/>
      <protection locked="0"/>
    </xf>
    <xf numFmtId="9" fontId="1" fillId="2" borderId="5" xfId="0" applyNumberFormat="1" applyFont="1" applyFill="1" applyBorder="1" applyAlignment="1">
      <alignment horizontal="center" vertical="center" textRotation="90" wrapText="1"/>
    </xf>
    <xf numFmtId="9" fontId="1" fillId="2" borderId="14" xfId="0" applyNumberFormat="1" applyFont="1" applyFill="1" applyBorder="1" applyAlignment="1">
      <alignment horizontal="center" vertical="center" textRotation="90" wrapText="1"/>
    </xf>
    <xf numFmtId="0" fontId="6" fillId="0" borderId="7" xfId="0" applyFont="1" applyBorder="1" applyAlignment="1">
      <alignment horizontal="center" vertical="center" textRotation="90" wrapText="1"/>
    </xf>
    <xf numFmtId="0" fontId="6" fillId="0" borderId="11" xfId="0" applyFont="1" applyBorder="1" applyAlignment="1">
      <alignment horizontal="center" vertical="center" textRotation="90" wrapText="1"/>
    </xf>
    <xf numFmtId="9" fontId="1" fillId="4" borderId="10" xfId="0" applyNumberFormat="1" applyFont="1" applyFill="1" applyBorder="1" applyAlignment="1">
      <alignment horizontal="center" vertical="center" textRotation="90" wrapText="1"/>
    </xf>
    <xf numFmtId="9" fontId="1" fillId="4" borderId="15" xfId="0" applyNumberFormat="1" applyFont="1" applyFill="1" applyBorder="1" applyAlignment="1">
      <alignment horizontal="center" vertical="center" textRotation="90" wrapText="1"/>
    </xf>
    <xf numFmtId="0" fontId="1" fillId="3" borderId="5" xfId="0" applyFont="1" applyFill="1" applyBorder="1" applyAlignment="1" applyProtection="1">
      <alignment horizontal="center" vertical="center" textRotation="90" wrapText="1"/>
      <protection locked="0"/>
    </xf>
    <xf numFmtId="0" fontId="1" fillId="3" borderId="14" xfId="0" applyFont="1" applyFill="1" applyBorder="1" applyAlignment="1" applyProtection="1">
      <alignment horizontal="center" vertical="center" textRotation="90" wrapText="1"/>
      <protection locked="0"/>
    </xf>
    <xf numFmtId="9" fontId="1" fillId="3" borderId="5" xfId="0" applyNumberFormat="1" applyFont="1" applyFill="1" applyBorder="1" applyAlignment="1">
      <alignment horizontal="center" vertical="center" textRotation="90" wrapText="1"/>
    </xf>
    <xf numFmtId="9" fontId="1" fillId="3" borderId="14" xfId="0" applyNumberFormat="1" applyFont="1" applyFill="1" applyBorder="1" applyAlignment="1">
      <alignment horizontal="center" vertical="center" textRotation="90" wrapText="1"/>
    </xf>
    <xf numFmtId="0" fontId="7" fillId="4" borderId="5" xfId="0" applyFont="1" applyFill="1" applyBorder="1" applyAlignment="1">
      <alignment horizontal="center" vertical="center" textRotation="90" wrapText="1"/>
    </xf>
    <xf numFmtId="0" fontId="7" fillId="4" borderId="14" xfId="0" applyFont="1" applyFill="1" applyBorder="1" applyAlignment="1">
      <alignment horizontal="center" vertical="center" textRotation="90" wrapText="1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" fontId="1" fillId="0" borderId="15" xfId="0" applyNumberFormat="1" applyFont="1" applyBorder="1" applyAlignment="1" applyProtection="1">
      <alignment horizontal="center" vertical="center"/>
      <protection locked="0"/>
    </xf>
    <xf numFmtId="16" fontId="1" fillId="0" borderId="17" xfId="0" applyNumberFormat="1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</cellXfs>
  <cellStyles count="1">
    <cellStyle name="Normal" xfId="0" builtinId="0"/>
  </cellStyles>
  <dxfs count="42">
    <dxf>
      <font>
        <color rgb="FF9C0006"/>
      </font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9C0006"/>
      </font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rgb="FF9C0006"/>
      </font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C0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0</xdr:row>
      <xdr:rowOff>0</xdr:rowOff>
    </xdr:from>
    <xdr:to>
      <xdr:col>28</xdr:col>
      <xdr:colOff>74554</xdr:colOff>
      <xdr:row>1</xdr:row>
      <xdr:rowOff>146521</xdr:rowOff>
    </xdr:to>
    <xdr:sp macro="" textlink="">
      <xdr:nvSpPr>
        <xdr:cNvPr id="2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C927D761-2D0D-419C-8A6C-14E5700AB37E}"/>
            </a:ext>
          </a:extLst>
        </xdr:cNvPr>
        <xdr:cNvSpPr/>
      </xdr:nvSpPr>
      <xdr:spPr bwMode="auto">
        <a:xfrm>
          <a:off x="11239500" y="0"/>
          <a:ext cx="2360554" cy="337021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27</xdr:col>
      <xdr:colOff>746478</xdr:colOff>
      <xdr:row>1</xdr:row>
      <xdr:rowOff>150687</xdr:rowOff>
    </xdr:to>
    <xdr:sp macro="" textlink="">
      <xdr:nvSpPr>
        <xdr:cNvPr id="3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2E7BE2C5-09FE-45B4-95F4-1B0BA66B2698}"/>
            </a:ext>
          </a:extLst>
        </xdr:cNvPr>
        <xdr:cNvSpPr/>
      </xdr:nvSpPr>
      <xdr:spPr bwMode="auto">
        <a:xfrm>
          <a:off x="11239500" y="0"/>
          <a:ext cx="2270478" cy="34118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25</xdr:col>
      <xdr:colOff>0</xdr:colOff>
      <xdr:row>0</xdr:row>
      <xdr:rowOff>0</xdr:rowOff>
    </xdr:from>
    <xdr:ext cx="2295525" cy="315568"/>
    <xdr:sp macro="" textlink="">
      <xdr:nvSpPr>
        <xdr:cNvPr id="4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8795FFD9-4A21-40E3-90BA-A38B3EAA8179}"/>
            </a:ext>
          </a:extLst>
        </xdr:cNvPr>
        <xdr:cNvSpPr/>
      </xdr:nvSpPr>
      <xdr:spPr bwMode="auto">
        <a:xfrm>
          <a:off x="11239500" y="0"/>
          <a:ext cx="2295525" cy="3155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0</xdr:colOff>
      <xdr:row>0</xdr:row>
      <xdr:rowOff>0</xdr:rowOff>
    </xdr:from>
    <xdr:ext cx="2295525" cy="315568"/>
    <xdr:sp macro="" textlink="">
      <xdr:nvSpPr>
        <xdr:cNvPr id="5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1B035BC6-DD48-41BC-B19C-43056814B91B}"/>
            </a:ext>
          </a:extLst>
        </xdr:cNvPr>
        <xdr:cNvSpPr/>
      </xdr:nvSpPr>
      <xdr:spPr bwMode="auto">
        <a:xfrm>
          <a:off x="11239500" y="0"/>
          <a:ext cx="2295525" cy="3155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25</xdr:col>
      <xdr:colOff>0</xdr:colOff>
      <xdr:row>0</xdr:row>
      <xdr:rowOff>0</xdr:rowOff>
    </xdr:from>
    <xdr:to>
      <xdr:col>27</xdr:col>
      <xdr:colOff>759387</xdr:colOff>
      <xdr:row>1</xdr:row>
      <xdr:rowOff>149444</xdr:rowOff>
    </xdr:to>
    <xdr:sp macro="" textlink="">
      <xdr:nvSpPr>
        <xdr:cNvPr id="6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18402A44-9FF9-4255-BF3B-F4C730E335B4}"/>
            </a:ext>
          </a:extLst>
        </xdr:cNvPr>
        <xdr:cNvSpPr/>
      </xdr:nvSpPr>
      <xdr:spPr bwMode="auto">
        <a:xfrm>
          <a:off x="11239500" y="0"/>
          <a:ext cx="2283387" cy="3399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28</xdr:col>
      <xdr:colOff>31061</xdr:colOff>
      <xdr:row>1</xdr:row>
      <xdr:rowOff>168494</xdr:rowOff>
    </xdr:to>
    <xdr:sp macro="" textlink="">
      <xdr:nvSpPr>
        <xdr:cNvPr id="7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FB6D58D1-5D19-4157-AC6C-241054EC5793}"/>
            </a:ext>
          </a:extLst>
        </xdr:cNvPr>
        <xdr:cNvSpPr/>
      </xdr:nvSpPr>
      <xdr:spPr bwMode="auto">
        <a:xfrm>
          <a:off x="11239500" y="0"/>
          <a:ext cx="2317061" cy="358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28</xdr:col>
      <xdr:colOff>31061</xdr:colOff>
      <xdr:row>1</xdr:row>
      <xdr:rowOff>179262</xdr:rowOff>
    </xdr:to>
    <xdr:sp macro="" textlink="">
      <xdr:nvSpPr>
        <xdr:cNvPr id="8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AFC74FAC-7C1B-4EBD-B3CE-2548DBAFDDAA}"/>
            </a:ext>
          </a:extLst>
        </xdr:cNvPr>
        <xdr:cNvSpPr/>
      </xdr:nvSpPr>
      <xdr:spPr bwMode="auto">
        <a:xfrm>
          <a:off x="11239500" y="0"/>
          <a:ext cx="2317061" cy="36976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28</xdr:col>
      <xdr:colOff>31061</xdr:colOff>
      <xdr:row>1</xdr:row>
      <xdr:rowOff>187544</xdr:rowOff>
    </xdr:to>
    <xdr:sp macro="" textlink="">
      <xdr:nvSpPr>
        <xdr:cNvPr id="9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D6A1252C-FBA1-4920-96BB-76A8C0E4BBD5}"/>
            </a:ext>
          </a:extLst>
        </xdr:cNvPr>
        <xdr:cNvSpPr/>
      </xdr:nvSpPr>
      <xdr:spPr bwMode="auto">
        <a:xfrm>
          <a:off x="11239500" y="0"/>
          <a:ext cx="2317061" cy="3780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28</xdr:col>
      <xdr:colOff>31061</xdr:colOff>
      <xdr:row>1</xdr:row>
      <xdr:rowOff>149444</xdr:rowOff>
    </xdr:to>
    <xdr:sp macro="" textlink="">
      <xdr:nvSpPr>
        <xdr:cNvPr id="10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8E6CA799-FE44-4D07-89FD-7EDCE6FA93F7}"/>
            </a:ext>
          </a:extLst>
        </xdr:cNvPr>
        <xdr:cNvSpPr/>
      </xdr:nvSpPr>
      <xdr:spPr bwMode="auto">
        <a:xfrm>
          <a:off x="11239500" y="0"/>
          <a:ext cx="2317061" cy="3399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28</xdr:col>
      <xdr:colOff>31061</xdr:colOff>
      <xdr:row>1</xdr:row>
      <xdr:rowOff>158969</xdr:rowOff>
    </xdr:to>
    <xdr:sp macro="" textlink="">
      <xdr:nvSpPr>
        <xdr:cNvPr id="11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07BE31AE-70AE-4942-8AA2-4166321DF63F}"/>
            </a:ext>
          </a:extLst>
        </xdr:cNvPr>
        <xdr:cNvSpPr/>
      </xdr:nvSpPr>
      <xdr:spPr bwMode="auto">
        <a:xfrm>
          <a:off x="11239500" y="0"/>
          <a:ext cx="2317061" cy="349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28</xdr:col>
      <xdr:colOff>79684</xdr:colOff>
      <xdr:row>1</xdr:row>
      <xdr:rowOff>166813</xdr:rowOff>
    </xdr:to>
    <xdr:sp macro="" textlink="">
      <xdr:nvSpPr>
        <xdr:cNvPr id="12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2ADB9905-B089-446A-B05B-334C08014787}"/>
            </a:ext>
          </a:extLst>
        </xdr:cNvPr>
        <xdr:cNvSpPr/>
      </xdr:nvSpPr>
      <xdr:spPr bwMode="auto">
        <a:xfrm>
          <a:off x="11239500" y="0"/>
          <a:ext cx="2365684" cy="357313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28</xdr:col>
      <xdr:colOff>5726</xdr:colOff>
      <xdr:row>1</xdr:row>
      <xdr:rowOff>160212</xdr:rowOff>
    </xdr:to>
    <xdr:sp macro="" textlink="">
      <xdr:nvSpPr>
        <xdr:cNvPr id="13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07ACD28D-BE51-4C2C-AF29-53EE4B73E54D}"/>
            </a:ext>
          </a:extLst>
        </xdr:cNvPr>
        <xdr:cNvSpPr/>
      </xdr:nvSpPr>
      <xdr:spPr bwMode="auto">
        <a:xfrm>
          <a:off x="11239500" y="0"/>
          <a:ext cx="2291726" cy="35071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25</xdr:col>
      <xdr:colOff>0</xdr:colOff>
      <xdr:row>0</xdr:row>
      <xdr:rowOff>0</xdr:rowOff>
    </xdr:from>
    <xdr:ext cx="2295525" cy="315568"/>
    <xdr:sp macro="" textlink="">
      <xdr:nvSpPr>
        <xdr:cNvPr id="14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92B06BE9-9CB3-476C-8000-F0AD9D18D628}"/>
            </a:ext>
          </a:extLst>
        </xdr:cNvPr>
        <xdr:cNvSpPr/>
      </xdr:nvSpPr>
      <xdr:spPr bwMode="auto">
        <a:xfrm>
          <a:off x="11239500" y="0"/>
          <a:ext cx="2295525" cy="3155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0</xdr:colOff>
      <xdr:row>0</xdr:row>
      <xdr:rowOff>0</xdr:rowOff>
    </xdr:from>
    <xdr:ext cx="2295525" cy="315568"/>
    <xdr:sp macro="" textlink="">
      <xdr:nvSpPr>
        <xdr:cNvPr id="15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89346DB1-4196-490D-995E-CFC576984037}"/>
            </a:ext>
          </a:extLst>
        </xdr:cNvPr>
        <xdr:cNvSpPr/>
      </xdr:nvSpPr>
      <xdr:spPr bwMode="auto">
        <a:xfrm>
          <a:off x="11239500" y="0"/>
          <a:ext cx="2295525" cy="3155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25</xdr:col>
      <xdr:colOff>0</xdr:colOff>
      <xdr:row>0</xdr:row>
      <xdr:rowOff>0</xdr:rowOff>
    </xdr:from>
    <xdr:to>
      <xdr:col>27</xdr:col>
      <xdr:colOff>761871</xdr:colOff>
      <xdr:row>1</xdr:row>
      <xdr:rowOff>158969</xdr:rowOff>
    </xdr:to>
    <xdr:sp macro="" textlink="">
      <xdr:nvSpPr>
        <xdr:cNvPr id="16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22C1800B-1CFE-4EB7-8DFC-19E82DC4EAA1}"/>
            </a:ext>
          </a:extLst>
        </xdr:cNvPr>
        <xdr:cNvSpPr/>
      </xdr:nvSpPr>
      <xdr:spPr bwMode="auto">
        <a:xfrm>
          <a:off x="11239500" y="0"/>
          <a:ext cx="2285871" cy="3494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28</xdr:col>
      <xdr:colOff>79684</xdr:colOff>
      <xdr:row>1</xdr:row>
      <xdr:rowOff>157288</xdr:rowOff>
    </xdr:to>
    <xdr:sp macro="" textlink="">
      <xdr:nvSpPr>
        <xdr:cNvPr id="17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BDCC4609-296A-44A2-9999-52B24C375CE7}"/>
            </a:ext>
          </a:extLst>
        </xdr:cNvPr>
        <xdr:cNvSpPr/>
      </xdr:nvSpPr>
      <xdr:spPr bwMode="auto">
        <a:xfrm>
          <a:off x="11239500" y="0"/>
          <a:ext cx="2365684" cy="34778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62343</xdr:colOff>
      <xdr:row>0</xdr:row>
      <xdr:rowOff>149087</xdr:rowOff>
    </xdr:from>
    <xdr:to>
      <xdr:col>20</xdr:col>
      <xdr:colOff>302856</xdr:colOff>
      <xdr:row>4</xdr:row>
      <xdr:rowOff>33512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5CFDE880-3FE5-4953-BBD0-8FA4E31E1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92043" y="149087"/>
          <a:ext cx="564363" cy="646425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9525</xdr:rowOff>
    </xdr:from>
    <xdr:to>
      <xdr:col>28</xdr:col>
      <xdr:colOff>5726</xdr:colOff>
      <xdr:row>8</xdr:row>
      <xdr:rowOff>134593</xdr:rowOff>
    </xdr:to>
    <xdr:sp macro="" textlink="">
      <xdr:nvSpPr>
        <xdr:cNvPr id="19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1627B77D-D44B-4FCA-9279-B376F3A5D4A3}"/>
            </a:ext>
          </a:extLst>
        </xdr:cNvPr>
        <xdr:cNvSpPr/>
      </xdr:nvSpPr>
      <xdr:spPr bwMode="auto">
        <a:xfrm>
          <a:off x="11239500" y="1362075"/>
          <a:ext cx="2291726" cy="4298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25</xdr:col>
      <xdr:colOff>0</xdr:colOff>
      <xdr:row>7</xdr:row>
      <xdr:rowOff>9525</xdr:rowOff>
    </xdr:from>
    <xdr:ext cx="2295525" cy="315568"/>
    <xdr:sp macro="" textlink="">
      <xdr:nvSpPr>
        <xdr:cNvPr id="20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6D7B28CB-0046-44B8-ABD2-B1DE0CF0FA4E}"/>
            </a:ext>
          </a:extLst>
        </xdr:cNvPr>
        <xdr:cNvSpPr/>
      </xdr:nvSpPr>
      <xdr:spPr bwMode="auto">
        <a:xfrm>
          <a:off x="11239500" y="1362075"/>
          <a:ext cx="2295525" cy="3155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0</xdr:colOff>
      <xdr:row>7</xdr:row>
      <xdr:rowOff>9525</xdr:rowOff>
    </xdr:from>
    <xdr:ext cx="2295525" cy="315568"/>
    <xdr:sp macro="" textlink="">
      <xdr:nvSpPr>
        <xdr:cNvPr id="21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A7E00DF9-6AB1-4391-AFF5-61D799B0EA85}"/>
            </a:ext>
          </a:extLst>
        </xdr:cNvPr>
        <xdr:cNvSpPr/>
      </xdr:nvSpPr>
      <xdr:spPr bwMode="auto">
        <a:xfrm>
          <a:off x="11239500" y="1362075"/>
          <a:ext cx="2295525" cy="3155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25</xdr:col>
      <xdr:colOff>0</xdr:colOff>
      <xdr:row>7</xdr:row>
      <xdr:rowOff>9525</xdr:rowOff>
    </xdr:from>
    <xdr:to>
      <xdr:col>27</xdr:col>
      <xdr:colOff>761871</xdr:colOff>
      <xdr:row>8</xdr:row>
      <xdr:rowOff>133350</xdr:rowOff>
    </xdr:to>
    <xdr:sp macro="" textlink="">
      <xdr:nvSpPr>
        <xdr:cNvPr id="22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85641EFF-68C6-447D-A5CD-0386C863371D}"/>
            </a:ext>
          </a:extLst>
        </xdr:cNvPr>
        <xdr:cNvSpPr/>
      </xdr:nvSpPr>
      <xdr:spPr bwMode="auto">
        <a:xfrm>
          <a:off x="11239500" y="1362075"/>
          <a:ext cx="2285871" cy="42862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25</xdr:col>
      <xdr:colOff>0</xdr:colOff>
      <xdr:row>7</xdr:row>
      <xdr:rowOff>9525</xdr:rowOff>
    </xdr:from>
    <xdr:ext cx="2286317" cy="314325"/>
    <xdr:sp macro="" textlink="">
      <xdr:nvSpPr>
        <xdr:cNvPr id="23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30EA789C-7374-4EA4-AA4C-6024BF0FD652}"/>
            </a:ext>
          </a:extLst>
        </xdr:cNvPr>
        <xdr:cNvSpPr/>
      </xdr:nvSpPr>
      <xdr:spPr bwMode="auto">
        <a:xfrm>
          <a:off x="11239500" y="1362075"/>
          <a:ext cx="2286317" cy="31432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0</xdr:colOff>
      <xdr:row>7</xdr:row>
      <xdr:rowOff>9525</xdr:rowOff>
    </xdr:from>
    <xdr:ext cx="2286317" cy="314325"/>
    <xdr:sp macro="" textlink="">
      <xdr:nvSpPr>
        <xdr:cNvPr id="24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29BD4094-E766-4F3E-A4AC-B20B99ED4123}"/>
            </a:ext>
          </a:extLst>
        </xdr:cNvPr>
        <xdr:cNvSpPr/>
      </xdr:nvSpPr>
      <xdr:spPr bwMode="auto">
        <a:xfrm>
          <a:off x="11239500" y="1362075"/>
          <a:ext cx="2286317" cy="31432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0</xdr:colOff>
      <xdr:row>7</xdr:row>
      <xdr:rowOff>9525</xdr:rowOff>
    </xdr:from>
    <xdr:ext cx="2286317" cy="314325"/>
    <xdr:sp macro="" textlink="">
      <xdr:nvSpPr>
        <xdr:cNvPr id="25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D840F386-A285-4968-8F9C-4F7D8302EBB0}"/>
            </a:ext>
          </a:extLst>
        </xdr:cNvPr>
        <xdr:cNvSpPr/>
      </xdr:nvSpPr>
      <xdr:spPr bwMode="auto">
        <a:xfrm>
          <a:off x="11239500" y="1362075"/>
          <a:ext cx="2286317" cy="31432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0</xdr:colOff>
      <xdr:row>0</xdr:row>
      <xdr:rowOff>0</xdr:rowOff>
    </xdr:from>
    <xdr:ext cx="2270478" cy="334618"/>
    <xdr:sp macro="" textlink="">
      <xdr:nvSpPr>
        <xdr:cNvPr id="26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0A6C74A4-E05F-4518-988F-2C9533A84C1F}"/>
            </a:ext>
          </a:extLst>
        </xdr:cNvPr>
        <xdr:cNvSpPr/>
      </xdr:nvSpPr>
      <xdr:spPr bwMode="auto">
        <a:xfrm>
          <a:off x="11239500" y="0"/>
          <a:ext cx="2270478" cy="33461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25</xdr:col>
      <xdr:colOff>0</xdr:colOff>
      <xdr:row>0</xdr:row>
      <xdr:rowOff>0</xdr:rowOff>
    </xdr:from>
    <xdr:to>
      <xdr:col>29</xdr:col>
      <xdr:colOff>364436</xdr:colOff>
      <xdr:row>1</xdr:row>
      <xdr:rowOff>149444</xdr:rowOff>
    </xdr:to>
    <xdr:sp macro="" textlink="">
      <xdr:nvSpPr>
        <xdr:cNvPr id="27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802690F7-0704-4B36-9D5A-AE58B80DC828}"/>
            </a:ext>
          </a:extLst>
        </xdr:cNvPr>
        <xdr:cNvSpPr/>
      </xdr:nvSpPr>
      <xdr:spPr bwMode="auto">
        <a:xfrm>
          <a:off x="11239500" y="0"/>
          <a:ext cx="3412436" cy="3399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29</xdr:col>
      <xdr:colOff>364436</xdr:colOff>
      <xdr:row>1</xdr:row>
      <xdr:rowOff>160212</xdr:rowOff>
    </xdr:to>
    <xdr:sp macro="" textlink="">
      <xdr:nvSpPr>
        <xdr:cNvPr id="28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9ECFE9CC-2D14-43EE-B9D0-361C948C0C72}"/>
            </a:ext>
          </a:extLst>
        </xdr:cNvPr>
        <xdr:cNvSpPr/>
      </xdr:nvSpPr>
      <xdr:spPr bwMode="auto">
        <a:xfrm>
          <a:off x="11239500" y="0"/>
          <a:ext cx="3412436" cy="35071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29</xdr:col>
      <xdr:colOff>364436</xdr:colOff>
      <xdr:row>1</xdr:row>
      <xdr:rowOff>168494</xdr:rowOff>
    </xdr:to>
    <xdr:sp macro="" textlink="">
      <xdr:nvSpPr>
        <xdr:cNvPr id="29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9DF29080-AF21-4C57-95E7-62F9FDFF43DA}"/>
            </a:ext>
          </a:extLst>
        </xdr:cNvPr>
        <xdr:cNvSpPr/>
      </xdr:nvSpPr>
      <xdr:spPr bwMode="auto">
        <a:xfrm>
          <a:off x="11239500" y="0"/>
          <a:ext cx="3412436" cy="3589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29</xdr:col>
      <xdr:colOff>364436</xdr:colOff>
      <xdr:row>1</xdr:row>
      <xdr:rowOff>130394</xdr:rowOff>
    </xdr:to>
    <xdr:sp macro="" textlink="">
      <xdr:nvSpPr>
        <xdr:cNvPr id="30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C478854E-ED5A-40F6-BDAC-DCAADB4EAD95}"/>
            </a:ext>
          </a:extLst>
        </xdr:cNvPr>
        <xdr:cNvSpPr/>
      </xdr:nvSpPr>
      <xdr:spPr bwMode="auto">
        <a:xfrm>
          <a:off x="11239500" y="0"/>
          <a:ext cx="3412436" cy="3208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29</xdr:col>
      <xdr:colOff>364436</xdr:colOff>
      <xdr:row>1</xdr:row>
      <xdr:rowOff>139919</xdr:rowOff>
    </xdr:to>
    <xdr:sp macro="" textlink="">
      <xdr:nvSpPr>
        <xdr:cNvPr id="31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0CC32D82-0ADD-4E60-98A6-21AABBC3C3AC}"/>
            </a:ext>
          </a:extLst>
        </xdr:cNvPr>
        <xdr:cNvSpPr/>
      </xdr:nvSpPr>
      <xdr:spPr bwMode="auto">
        <a:xfrm>
          <a:off x="11239500" y="0"/>
          <a:ext cx="3412436" cy="330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29</xdr:col>
      <xdr:colOff>413059</xdr:colOff>
      <xdr:row>1</xdr:row>
      <xdr:rowOff>147763</xdr:rowOff>
    </xdr:to>
    <xdr:sp macro="" textlink="">
      <xdr:nvSpPr>
        <xdr:cNvPr id="32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88E3A204-A768-4EB2-9A88-17BB7E246A00}"/>
            </a:ext>
          </a:extLst>
        </xdr:cNvPr>
        <xdr:cNvSpPr/>
      </xdr:nvSpPr>
      <xdr:spPr bwMode="auto">
        <a:xfrm>
          <a:off x="11239500" y="0"/>
          <a:ext cx="3461059" cy="338263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29</xdr:col>
      <xdr:colOff>339101</xdr:colOff>
      <xdr:row>1</xdr:row>
      <xdr:rowOff>141162</xdr:rowOff>
    </xdr:to>
    <xdr:sp macro="" textlink="">
      <xdr:nvSpPr>
        <xdr:cNvPr id="33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A5A4C811-247A-4477-9D46-AB9D408F2745}"/>
            </a:ext>
          </a:extLst>
        </xdr:cNvPr>
        <xdr:cNvSpPr/>
      </xdr:nvSpPr>
      <xdr:spPr bwMode="auto">
        <a:xfrm>
          <a:off x="11239500" y="0"/>
          <a:ext cx="3387101" cy="33166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25</xdr:col>
      <xdr:colOff>0</xdr:colOff>
      <xdr:row>0</xdr:row>
      <xdr:rowOff>0</xdr:rowOff>
    </xdr:from>
    <xdr:ext cx="2295525" cy="315568"/>
    <xdr:sp macro="" textlink="">
      <xdr:nvSpPr>
        <xdr:cNvPr id="34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95174ADD-7F97-4FBE-968C-AF6F5C220149}"/>
            </a:ext>
          </a:extLst>
        </xdr:cNvPr>
        <xdr:cNvSpPr/>
      </xdr:nvSpPr>
      <xdr:spPr bwMode="auto">
        <a:xfrm>
          <a:off x="11239500" y="0"/>
          <a:ext cx="2295525" cy="3155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0</xdr:colOff>
      <xdr:row>0</xdr:row>
      <xdr:rowOff>0</xdr:rowOff>
    </xdr:from>
    <xdr:ext cx="2295525" cy="315568"/>
    <xdr:sp macro="" textlink="">
      <xdr:nvSpPr>
        <xdr:cNvPr id="35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FEDAAB90-2A0B-410D-9476-76DF06E86F9C}"/>
            </a:ext>
          </a:extLst>
        </xdr:cNvPr>
        <xdr:cNvSpPr/>
      </xdr:nvSpPr>
      <xdr:spPr bwMode="auto">
        <a:xfrm>
          <a:off x="11239500" y="0"/>
          <a:ext cx="2295525" cy="3155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25</xdr:col>
      <xdr:colOff>0</xdr:colOff>
      <xdr:row>0</xdr:row>
      <xdr:rowOff>0</xdr:rowOff>
    </xdr:from>
    <xdr:to>
      <xdr:col>28</xdr:col>
      <xdr:colOff>650502</xdr:colOff>
      <xdr:row>1</xdr:row>
      <xdr:rowOff>139919</xdr:rowOff>
    </xdr:to>
    <xdr:sp macro="" textlink="">
      <xdr:nvSpPr>
        <xdr:cNvPr id="36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E93D5CE9-6373-49C0-98EA-7D55046D20E0}"/>
            </a:ext>
          </a:extLst>
        </xdr:cNvPr>
        <xdr:cNvSpPr/>
      </xdr:nvSpPr>
      <xdr:spPr bwMode="auto">
        <a:xfrm>
          <a:off x="11239500" y="0"/>
          <a:ext cx="2936502" cy="3304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29</xdr:col>
      <xdr:colOff>413059</xdr:colOff>
      <xdr:row>1</xdr:row>
      <xdr:rowOff>138238</xdr:rowOff>
    </xdr:to>
    <xdr:sp macro="" textlink="">
      <xdr:nvSpPr>
        <xdr:cNvPr id="37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9381CC01-90A0-4C40-AC18-6B60067DB73B}"/>
            </a:ext>
          </a:extLst>
        </xdr:cNvPr>
        <xdr:cNvSpPr/>
      </xdr:nvSpPr>
      <xdr:spPr bwMode="auto">
        <a:xfrm>
          <a:off x="11239500" y="0"/>
          <a:ext cx="3461059" cy="32873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7</xdr:row>
      <xdr:rowOff>9525</xdr:rowOff>
    </xdr:from>
    <xdr:to>
      <xdr:col>29</xdr:col>
      <xdr:colOff>339101</xdr:colOff>
      <xdr:row>8</xdr:row>
      <xdr:rowOff>134593</xdr:rowOff>
    </xdr:to>
    <xdr:sp macro="" textlink="">
      <xdr:nvSpPr>
        <xdr:cNvPr id="38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9FC6D545-673E-4CF0-8B26-DF5E480F3991}"/>
            </a:ext>
          </a:extLst>
        </xdr:cNvPr>
        <xdr:cNvSpPr/>
      </xdr:nvSpPr>
      <xdr:spPr bwMode="auto">
        <a:xfrm>
          <a:off x="11239500" y="1362075"/>
          <a:ext cx="3387101" cy="4298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25</xdr:col>
      <xdr:colOff>0</xdr:colOff>
      <xdr:row>7</xdr:row>
      <xdr:rowOff>9525</xdr:rowOff>
    </xdr:from>
    <xdr:ext cx="2295525" cy="315568"/>
    <xdr:sp macro="" textlink="">
      <xdr:nvSpPr>
        <xdr:cNvPr id="39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FF52E4AB-D370-4D01-B5DA-905CD8DEEA07}"/>
            </a:ext>
          </a:extLst>
        </xdr:cNvPr>
        <xdr:cNvSpPr/>
      </xdr:nvSpPr>
      <xdr:spPr bwMode="auto">
        <a:xfrm>
          <a:off x="11239500" y="1362075"/>
          <a:ext cx="2295525" cy="3155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0</xdr:colOff>
      <xdr:row>7</xdr:row>
      <xdr:rowOff>9525</xdr:rowOff>
    </xdr:from>
    <xdr:ext cx="2295525" cy="315568"/>
    <xdr:sp macro="" textlink="">
      <xdr:nvSpPr>
        <xdr:cNvPr id="40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5E7635CF-C959-4584-9D14-48C08E296129}"/>
            </a:ext>
          </a:extLst>
        </xdr:cNvPr>
        <xdr:cNvSpPr/>
      </xdr:nvSpPr>
      <xdr:spPr bwMode="auto">
        <a:xfrm>
          <a:off x="11239500" y="1362075"/>
          <a:ext cx="2295525" cy="3155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25</xdr:col>
      <xdr:colOff>0</xdr:colOff>
      <xdr:row>7</xdr:row>
      <xdr:rowOff>9525</xdr:rowOff>
    </xdr:from>
    <xdr:to>
      <xdr:col>28</xdr:col>
      <xdr:colOff>650502</xdr:colOff>
      <xdr:row>8</xdr:row>
      <xdr:rowOff>133350</xdr:rowOff>
    </xdr:to>
    <xdr:sp macro="" textlink="">
      <xdr:nvSpPr>
        <xdr:cNvPr id="41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020C771E-2889-44C4-84B3-C57D1C89E914}"/>
            </a:ext>
          </a:extLst>
        </xdr:cNvPr>
        <xdr:cNvSpPr/>
      </xdr:nvSpPr>
      <xdr:spPr bwMode="auto">
        <a:xfrm>
          <a:off x="11239500" y="1362075"/>
          <a:ext cx="2936502" cy="42862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25</xdr:col>
      <xdr:colOff>0</xdr:colOff>
      <xdr:row>7</xdr:row>
      <xdr:rowOff>9525</xdr:rowOff>
    </xdr:from>
    <xdr:ext cx="2286317" cy="314325"/>
    <xdr:sp macro="" textlink="">
      <xdr:nvSpPr>
        <xdr:cNvPr id="42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30698D14-7F89-4D56-BB87-E83EE98A8CC4}"/>
            </a:ext>
          </a:extLst>
        </xdr:cNvPr>
        <xdr:cNvSpPr/>
      </xdr:nvSpPr>
      <xdr:spPr bwMode="auto">
        <a:xfrm>
          <a:off x="11239500" y="1362075"/>
          <a:ext cx="2286317" cy="31432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0</xdr:colOff>
      <xdr:row>7</xdr:row>
      <xdr:rowOff>9525</xdr:rowOff>
    </xdr:from>
    <xdr:ext cx="2286317" cy="314325"/>
    <xdr:sp macro="" textlink="">
      <xdr:nvSpPr>
        <xdr:cNvPr id="43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70B90A46-852F-4642-92ED-625FDF1F2937}"/>
            </a:ext>
          </a:extLst>
        </xdr:cNvPr>
        <xdr:cNvSpPr/>
      </xdr:nvSpPr>
      <xdr:spPr bwMode="auto">
        <a:xfrm>
          <a:off x="11239500" y="1362075"/>
          <a:ext cx="2286317" cy="31432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0</xdr:colOff>
      <xdr:row>7</xdr:row>
      <xdr:rowOff>9525</xdr:rowOff>
    </xdr:from>
    <xdr:ext cx="2286317" cy="314325"/>
    <xdr:sp macro="" textlink="">
      <xdr:nvSpPr>
        <xdr:cNvPr id="44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50AE8345-9BE7-475A-B84B-B8CD3E9C3604}"/>
            </a:ext>
          </a:extLst>
        </xdr:cNvPr>
        <xdr:cNvSpPr/>
      </xdr:nvSpPr>
      <xdr:spPr bwMode="auto">
        <a:xfrm>
          <a:off x="11239500" y="1362075"/>
          <a:ext cx="2286317" cy="31432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800100</xdr:colOff>
      <xdr:row>1</xdr:row>
      <xdr:rowOff>47624</xdr:rowOff>
    </xdr:from>
    <xdr:to>
      <xdr:col>1</xdr:col>
      <xdr:colOff>1708285</xdr:colOff>
      <xdr:row>6</xdr:row>
      <xdr:rowOff>47624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5122D7FA-918B-42BC-A248-5E8D5E154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700" y="238124"/>
          <a:ext cx="908185" cy="95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0</xdr:row>
      <xdr:rowOff>0</xdr:rowOff>
    </xdr:from>
    <xdr:to>
      <xdr:col>28</xdr:col>
      <xdr:colOff>74554</xdr:colOff>
      <xdr:row>1</xdr:row>
      <xdr:rowOff>139952</xdr:rowOff>
    </xdr:to>
    <xdr:sp macro="" textlink="">
      <xdr:nvSpPr>
        <xdr:cNvPr id="2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E1E6AB0B-142D-4DFA-BB47-5FDE084319BE}"/>
            </a:ext>
          </a:extLst>
        </xdr:cNvPr>
        <xdr:cNvSpPr/>
      </xdr:nvSpPr>
      <xdr:spPr bwMode="auto">
        <a:xfrm>
          <a:off x="24965025" y="0"/>
          <a:ext cx="2360554" cy="33045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27</xdr:col>
      <xdr:colOff>746478</xdr:colOff>
      <xdr:row>1</xdr:row>
      <xdr:rowOff>144118</xdr:rowOff>
    </xdr:to>
    <xdr:sp macro="" textlink="">
      <xdr:nvSpPr>
        <xdr:cNvPr id="3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6FF18AEC-D031-4C0F-A92C-ED243A154FEE}"/>
            </a:ext>
          </a:extLst>
        </xdr:cNvPr>
        <xdr:cNvSpPr/>
      </xdr:nvSpPr>
      <xdr:spPr bwMode="auto">
        <a:xfrm>
          <a:off x="18183225" y="0"/>
          <a:ext cx="2270478" cy="33461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25</xdr:col>
      <xdr:colOff>0</xdr:colOff>
      <xdr:row>0</xdr:row>
      <xdr:rowOff>0</xdr:rowOff>
    </xdr:from>
    <xdr:ext cx="2295525" cy="315568"/>
    <xdr:sp macro="" textlink="">
      <xdr:nvSpPr>
        <xdr:cNvPr id="4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10DE80FF-B3AF-405D-BC88-FC0D5A77E38F}"/>
            </a:ext>
          </a:extLst>
        </xdr:cNvPr>
        <xdr:cNvSpPr/>
      </xdr:nvSpPr>
      <xdr:spPr bwMode="auto">
        <a:xfrm>
          <a:off x="23717250" y="0"/>
          <a:ext cx="2295525" cy="3155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0</xdr:colOff>
      <xdr:row>0</xdr:row>
      <xdr:rowOff>0</xdr:rowOff>
    </xdr:from>
    <xdr:ext cx="2295525" cy="315568"/>
    <xdr:sp macro="" textlink="">
      <xdr:nvSpPr>
        <xdr:cNvPr id="5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FE08B5EB-0884-401F-9F35-76FCB4A7D605}"/>
            </a:ext>
          </a:extLst>
        </xdr:cNvPr>
        <xdr:cNvSpPr/>
      </xdr:nvSpPr>
      <xdr:spPr bwMode="auto">
        <a:xfrm>
          <a:off x="23717250" y="0"/>
          <a:ext cx="2295525" cy="3155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25</xdr:col>
      <xdr:colOff>0</xdr:colOff>
      <xdr:row>0</xdr:row>
      <xdr:rowOff>0</xdr:rowOff>
    </xdr:from>
    <xdr:to>
      <xdr:col>27</xdr:col>
      <xdr:colOff>759387</xdr:colOff>
      <xdr:row>1</xdr:row>
      <xdr:rowOff>142875</xdr:rowOff>
    </xdr:to>
    <xdr:sp macro="" textlink="">
      <xdr:nvSpPr>
        <xdr:cNvPr id="6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ABC1E187-5880-49A8-BF62-522820A8CB48}"/>
            </a:ext>
          </a:extLst>
        </xdr:cNvPr>
        <xdr:cNvSpPr/>
      </xdr:nvSpPr>
      <xdr:spPr bwMode="auto">
        <a:xfrm>
          <a:off x="28870275" y="0"/>
          <a:ext cx="2283387" cy="3333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28</xdr:col>
      <xdr:colOff>31061</xdr:colOff>
      <xdr:row>1</xdr:row>
      <xdr:rowOff>161925</xdr:rowOff>
    </xdr:to>
    <xdr:sp macro="" textlink="">
      <xdr:nvSpPr>
        <xdr:cNvPr id="7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E40A2E3A-3C67-481F-A364-AC442DFC470B}"/>
            </a:ext>
          </a:extLst>
        </xdr:cNvPr>
        <xdr:cNvSpPr/>
      </xdr:nvSpPr>
      <xdr:spPr bwMode="auto">
        <a:xfrm>
          <a:off x="24326850" y="0"/>
          <a:ext cx="2317061" cy="35242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28</xdr:col>
      <xdr:colOff>31061</xdr:colOff>
      <xdr:row>1</xdr:row>
      <xdr:rowOff>172693</xdr:rowOff>
    </xdr:to>
    <xdr:sp macro="" textlink="">
      <xdr:nvSpPr>
        <xdr:cNvPr id="8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A411AC54-6376-4B40-8599-D717B453EDAA}"/>
            </a:ext>
          </a:extLst>
        </xdr:cNvPr>
        <xdr:cNvSpPr/>
      </xdr:nvSpPr>
      <xdr:spPr bwMode="auto">
        <a:xfrm>
          <a:off x="24326850" y="0"/>
          <a:ext cx="2317061" cy="363193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28</xdr:col>
      <xdr:colOff>31061</xdr:colOff>
      <xdr:row>1</xdr:row>
      <xdr:rowOff>180975</xdr:rowOff>
    </xdr:to>
    <xdr:sp macro="" textlink="">
      <xdr:nvSpPr>
        <xdr:cNvPr id="9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17A2647C-0CC3-432F-B78C-AAB60522935D}"/>
            </a:ext>
          </a:extLst>
        </xdr:cNvPr>
        <xdr:cNvSpPr/>
      </xdr:nvSpPr>
      <xdr:spPr bwMode="auto">
        <a:xfrm>
          <a:off x="24326850" y="0"/>
          <a:ext cx="2317061" cy="3714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28</xdr:col>
      <xdr:colOff>31061</xdr:colOff>
      <xdr:row>1</xdr:row>
      <xdr:rowOff>142875</xdr:rowOff>
    </xdr:to>
    <xdr:sp macro="" textlink="">
      <xdr:nvSpPr>
        <xdr:cNvPr id="10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3D698A57-BC9C-4855-9972-32CCC4D469DE}"/>
            </a:ext>
          </a:extLst>
        </xdr:cNvPr>
        <xdr:cNvSpPr/>
      </xdr:nvSpPr>
      <xdr:spPr bwMode="auto">
        <a:xfrm>
          <a:off x="24326850" y="0"/>
          <a:ext cx="2317061" cy="3333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28</xdr:col>
      <xdr:colOff>31061</xdr:colOff>
      <xdr:row>1</xdr:row>
      <xdr:rowOff>152400</xdr:rowOff>
    </xdr:to>
    <xdr:sp macro="" textlink="">
      <xdr:nvSpPr>
        <xdr:cNvPr id="11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987C6F3C-9522-4E74-A9A1-F3E252DA33E1}"/>
            </a:ext>
          </a:extLst>
        </xdr:cNvPr>
        <xdr:cNvSpPr/>
      </xdr:nvSpPr>
      <xdr:spPr bwMode="auto">
        <a:xfrm>
          <a:off x="24326850" y="0"/>
          <a:ext cx="2317061" cy="3429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28</xdr:col>
      <xdr:colOff>79684</xdr:colOff>
      <xdr:row>1</xdr:row>
      <xdr:rowOff>160244</xdr:rowOff>
    </xdr:to>
    <xdr:sp macro="" textlink="">
      <xdr:nvSpPr>
        <xdr:cNvPr id="12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98417F9B-2EEA-4936-A259-4464723F0BBD}"/>
            </a:ext>
          </a:extLst>
        </xdr:cNvPr>
        <xdr:cNvSpPr/>
      </xdr:nvSpPr>
      <xdr:spPr bwMode="auto">
        <a:xfrm>
          <a:off x="24326850" y="0"/>
          <a:ext cx="2365684" cy="350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28</xdr:col>
      <xdr:colOff>5726</xdr:colOff>
      <xdr:row>1</xdr:row>
      <xdr:rowOff>153643</xdr:rowOff>
    </xdr:to>
    <xdr:sp macro="" textlink="">
      <xdr:nvSpPr>
        <xdr:cNvPr id="13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92161876-4E0D-49D1-8A43-DA60363E26A4}"/>
            </a:ext>
          </a:extLst>
        </xdr:cNvPr>
        <xdr:cNvSpPr/>
      </xdr:nvSpPr>
      <xdr:spPr bwMode="auto">
        <a:xfrm>
          <a:off x="24326850" y="0"/>
          <a:ext cx="2291726" cy="344143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25</xdr:col>
      <xdr:colOff>0</xdr:colOff>
      <xdr:row>0</xdr:row>
      <xdr:rowOff>0</xdr:rowOff>
    </xdr:from>
    <xdr:ext cx="2295525" cy="315568"/>
    <xdr:sp macro="" textlink="">
      <xdr:nvSpPr>
        <xdr:cNvPr id="14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4349D21C-BAC0-4301-9CEE-A8732A8D83FC}"/>
            </a:ext>
          </a:extLst>
        </xdr:cNvPr>
        <xdr:cNvSpPr/>
      </xdr:nvSpPr>
      <xdr:spPr bwMode="auto">
        <a:xfrm>
          <a:off x="24326850" y="0"/>
          <a:ext cx="2295525" cy="3155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0</xdr:colOff>
      <xdr:row>0</xdr:row>
      <xdr:rowOff>0</xdr:rowOff>
    </xdr:from>
    <xdr:ext cx="2295525" cy="315568"/>
    <xdr:sp macro="" textlink="">
      <xdr:nvSpPr>
        <xdr:cNvPr id="15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BF2B7FF0-5F57-4348-812D-F3C99A17E99C}"/>
            </a:ext>
          </a:extLst>
        </xdr:cNvPr>
        <xdr:cNvSpPr/>
      </xdr:nvSpPr>
      <xdr:spPr bwMode="auto">
        <a:xfrm>
          <a:off x="24326850" y="0"/>
          <a:ext cx="2295525" cy="3155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25</xdr:col>
      <xdr:colOff>0</xdr:colOff>
      <xdr:row>0</xdr:row>
      <xdr:rowOff>0</xdr:rowOff>
    </xdr:from>
    <xdr:to>
      <xdr:col>27</xdr:col>
      <xdr:colOff>761871</xdr:colOff>
      <xdr:row>1</xdr:row>
      <xdr:rowOff>152400</xdr:rowOff>
    </xdr:to>
    <xdr:sp macro="" textlink="">
      <xdr:nvSpPr>
        <xdr:cNvPr id="16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8CAFCECE-BDE5-4F04-A2AE-301B0F550537}"/>
            </a:ext>
          </a:extLst>
        </xdr:cNvPr>
        <xdr:cNvSpPr/>
      </xdr:nvSpPr>
      <xdr:spPr bwMode="auto">
        <a:xfrm>
          <a:off x="24660225" y="0"/>
          <a:ext cx="2285871" cy="3429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28</xdr:col>
      <xdr:colOff>79684</xdr:colOff>
      <xdr:row>1</xdr:row>
      <xdr:rowOff>150719</xdr:rowOff>
    </xdr:to>
    <xdr:sp macro="" textlink="">
      <xdr:nvSpPr>
        <xdr:cNvPr id="17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375C9997-9F28-43D0-A7F5-996917917022}"/>
            </a:ext>
          </a:extLst>
        </xdr:cNvPr>
        <xdr:cNvSpPr/>
      </xdr:nvSpPr>
      <xdr:spPr bwMode="auto">
        <a:xfrm>
          <a:off x="24326850" y="0"/>
          <a:ext cx="2365684" cy="3412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62343</xdr:colOff>
      <xdr:row>0</xdr:row>
      <xdr:rowOff>149087</xdr:rowOff>
    </xdr:from>
    <xdr:to>
      <xdr:col>20</xdr:col>
      <xdr:colOff>302856</xdr:colOff>
      <xdr:row>4</xdr:row>
      <xdr:rowOff>26943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5D978C82-7340-4BFC-888A-E627DE94B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6193" y="149087"/>
          <a:ext cx="564362" cy="639856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9525</xdr:rowOff>
    </xdr:from>
    <xdr:to>
      <xdr:col>28</xdr:col>
      <xdr:colOff>5726</xdr:colOff>
      <xdr:row>8</xdr:row>
      <xdr:rowOff>134593</xdr:rowOff>
    </xdr:to>
    <xdr:sp macro="" textlink="">
      <xdr:nvSpPr>
        <xdr:cNvPr id="19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BF70DE6A-6F00-4355-A773-577E1119AC1F}"/>
            </a:ext>
          </a:extLst>
        </xdr:cNvPr>
        <xdr:cNvSpPr/>
      </xdr:nvSpPr>
      <xdr:spPr bwMode="auto">
        <a:xfrm>
          <a:off x="24326850" y="1381125"/>
          <a:ext cx="2291726" cy="3155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25</xdr:col>
      <xdr:colOff>0</xdr:colOff>
      <xdr:row>7</xdr:row>
      <xdr:rowOff>9525</xdr:rowOff>
    </xdr:from>
    <xdr:ext cx="2295525" cy="315568"/>
    <xdr:sp macro="" textlink="">
      <xdr:nvSpPr>
        <xdr:cNvPr id="20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C4B2B614-6A3A-4C18-BA12-9E25C7956726}"/>
            </a:ext>
          </a:extLst>
        </xdr:cNvPr>
        <xdr:cNvSpPr/>
      </xdr:nvSpPr>
      <xdr:spPr bwMode="auto">
        <a:xfrm>
          <a:off x="24326850" y="1381125"/>
          <a:ext cx="2295525" cy="3155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0</xdr:colOff>
      <xdr:row>7</xdr:row>
      <xdr:rowOff>9525</xdr:rowOff>
    </xdr:from>
    <xdr:ext cx="2295525" cy="315568"/>
    <xdr:sp macro="" textlink="">
      <xdr:nvSpPr>
        <xdr:cNvPr id="22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B3D95216-E51F-426F-A0F0-5C441EFA76EA}"/>
            </a:ext>
          </a:extLst>
        </xdr:cNvPr>
        <xdr:cNvSpPr/>
      </xdr:nvSpPr>
      <xdr:spPr bwMode="auto">
        <a:xfrm>
          <a:off x="24326850" y="1381125"/>
          <a:ext cx="2295525" cy="3155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25</xdr:col>
      <xdr:colOff>0</xdr:colOff>
      <xdr:row>7</xdr:row>
      <xdr:rowOff>9525</xdr:rowOff>
    </xdr:from>
    <xdr:to>
      <xdr:col>27</xdr:col>
      <xdr:colOff>761871</xdr:colOff>
      <xdr:row>8</xdr:row>
      <xdr:rowOff>133350</xdr:rowOff>
    </xdr:to>
    <xdr:sp macro="" textlink="">
      <xdr:nvSpPr>
        <xdr:cNvPr id="23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208FE744-E0F9-428E-B10E-8A7446ABD101}"/>
            </a:ext>
          </a:extLst>
        </xdr:cNvPr>
        <xdr:cNvSpPr/>
      </xdr:nvSpPr>
      <xdr:spPr bwMode="auto">
        <a:xfrm>
          <a:off x="24660225" y="1381125"/>
          <a:ext cx="2285871" cy="31432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25</xdr:col>
      <xdr:colOff>0</xdr:colOff>
      <xdr:row>7</xdr:row>
      <xdr:rowOff>9525</xdr:rowOff>
    </xdr:from>
    <xdr:ext cx="2286317" cy="314325"/>
    <xdr:sp macro="" textlink="">
      <xdr:nvSpPr>
        <xdr:cNvPr id="25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8A0F66EC-13FA-4E98-A9DE-9AA3C8C38AAA}"/>
            </a:ext>
          </a:extLst>
        </xdr:cNvPr>
        <xdr:cNvSpPr/>
      </xdr:nvSpPr>
      <xdr:spPr bwMode="auto">
        <a:xfrm>
          <a:off x="25812750" y="1381125"/>
          <a:ext cx="2286317" cy="31432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0</xdr:colOff>
      <xdr:row>7</xdr:row>
      <xdr:rowOff>9525</xdr:rowOff>
    </xdr:from>
    <xdr:ext cx="2286317" cy="314325"/>
    <xdr:sp macro="" textlink="">
      <xdr:nvSpPr>
        <xdr:cNvPr id="26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D49D70A1-F6B0-476D-981F-EBEF325BE4DC}"/>
            </a:ext>
          </a:extLst>
        </xdr:cNvPr>
        <xdr:cNvSpPr/>
      </xdr:nvSpPr>
      <xdr:spPr bwMode="auto">
        <a:xfrm>
          <a:off x="27031950" y="1381125"/>
          <a:ext cx="2286317" cy="31432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0</xdr:colOff>
      <xdr:row>7</xdr:row>
      <xdr:rowOff>9525</xdr:rowOff>
    </xdr:from>
    <xdr:ext cx="2286317" cy="314325"/>
    <xdr:sp macro="" textlink="">
      <xdr:nvSpPr>
        <xdr:cNvPr id="27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21845BCE-EAEE-44D8-8379-867DC415462E}"/>
            </a:ext>
          </a:extLst>
        </xdr:cNvPr>
        <xdr:cNvSpPr/>
      </xdr:nvSpPr>
      <xdr:spPr bwMode="auto">
        <a:xfrm>
          <a:off x="28298775" y="1381125"/>
          <a:ext cx="2286317" cy="31432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0</xdr:colOff>
      <xdr:row>0</xdr:row>
      <xdr:rowOff>0</xdr:rowOff>
    </xdr:from>
    <xdr:ext cx="2270478" cy="334618"/>
    <xdr:sp macro="" textlink="">
      <xdr:nvSpPr>
        <xdr:cNvPr id="30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ACA7D4AD-2E54-4ED9-932C-27315815D18B}"/>
            </a:ext>
          </a:extLst>
        </xdr:cNvPr>
        <xdr:cNvSpPr/>
      </xdr:nvSpPr>
      <xdr:spPr bwMode="auto">
        <a:xfrm>
          <a:off x="38185725" y="0"/>
          <a:ext cx="2270478" cy="33461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25</xdr:col>
      <xdr:colOff>0</xdr:colOff>
      <xdr:row>0</xdr:row>
      <xdr:rowOff>0</xdr:rowOff>
    </xdr:from>
    <xdr:to>
      <xdr:col>29</xdr:col>
      <xdr:colOff>364436</xdr:colOff>
      <xdr:row>1</xdr:row>
      <xdr:rowOff>142875</xdr:rowOff>
    </xdr:to>
    <xdr:sp macro="" textlink="">
      <xdr:nvSpPr>
        <xdr:cNvPr id="35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EEC962D1-F52A-45A2-9158-987C2B52564A}"/>
            </a:ext>
          </a:extLst>
        </xdr:cNvPr>
        <xdr:cNvSpPr/>
      </xdr:nvSpPr>
      <xdr:spPr bwMode="auto">
        <a:xfrm>
          <a:off x="42462450" y="0"/>
          <a:ext cx="3412436" cy="3333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29</xdr:col>
      <xdr:colOff>364436</xdr:colOff>
      <xdr:row>1</xdr:row>
      <xdr:rowOff>153643</xdr:rowOff>
    </xdr:to>
    <xdr:sp macro="" textlink="">
      <xdr:nvSpPr>
        <xdr:cNvPr id="36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A7BC242E-54D4-4A1D-801F-080031663ADC}"/>
            </a:ext>
          </a:extLst>
        </xdr:cNvPr>
        <xdr:cNvSpPr/>
      </xdr:nvSpPr>
      <xdr:spPr bwMode="auto">
        <a:xfrm>
          <a:off x="42462450" y="0"/>
          <a:ext cx="3412436" cy="344143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29</xdr:col>
      <xdr:colOff>364436</xdr:colOff>
      <xdr:row>1</xdr:row>
      <xdr:rowOff>161925</xdr:rowOff>
    </xdr:to>
    <xdr:sp macro="" textlink="">
      <xdr:nvSpPr>
        <xdr:cNvPr id="37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36F63072-1EA6-49F2-8F3F-F866333CFCC8}"/>
            </a:ext>
          </a:extLst>
        </xdr:cNvPr>
        <xdr:cNvSpPr/>
      </xdr:nvSpPr>
      <xdr:spPr bwMode="auto">
        <a:xfrm>
          <a:off x="42462450" y="0"/>
          <a:ext cx="3412436" cy="35242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29</xdr:col>
      <xdr:colOff>364436</xdr:colOff>
      <xdr:row>1</xdr:row>
      <xdr:rowOff>123825</xdr:rowOff>
    </xdr:to>
    <xdr:sp macro="" textlink="">
      <xdr:nvSpPr>
        <xdr:cNvPr id="38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0C4B5403-1620-4D01-A07D-822CA369C27D}"/>
            </a:ext>
          </a:extLst>
        </xdr:cNvPr>
        <xdr:cNvSpPr/>
      </xdr:nvSpPr>
      <xdr:spPr bwMode="auto">
        <a:xfrm>
          <a:off x="42462450" y="0"/>
          <a:ext cx="3412436" cy="31432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29</xdr:col>
      <xdr:colOff>364436</xdr:colOff>
      <xdr:row>1</xdr:row>
      <xdr:rowOff>133350</xdr:rowOff>
    </xdr:to>
    <xdr:sp macro="" textlink="">
      <xdr:nvSpPr>
        <xdr:cNvPr id="39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DF1A53DC-67D0-4C11-95BF-3AD58E1CC35F}"/>
            </a:ext>
          </a:extLst>
        </xdr:cNvPr>
        <xdr:cNvSpPr/>
      </xdr:nvSpPr>
      <xdr:spPr bwMode="auto">
        <a:xfrm>
          <a:off x="42462450" y="0"/>
          <a:ext cx="3412436" cy="3238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29</xdr:col>
      <xdr:colOff>413059</xdr:colOff>
      <xdr:row>1</xdr:row>
      <xdr:rowOff>141194</xdr:rowOff>
    </xdr:to>
    <xdr:sp macro="" textlink="">
      <xdr:nvSpPr>
        <xdr:cNvPr id="40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EDFE70C0-41F4-4469-918B-056EACDED2FA}"/>
            </a:ext>
          </a:extLst>
        </xdr:cNvPr>
        <xdr:cNvSpPr/>
      </xdr:nvSpPr>
      <xdr:spPr bwMode="auto">
        <a:xfrm>
          <a:off x="42462450" y="0"/>
          <a:ext cx="3461059" cy="3316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29</xdr:col>
      <xdr:colOff>339101</xdr:colOff>
      <xdr:row>1</xdr:row>
      <xdr:rowOff>134593</xdr:rowOff>
    </xdr:to>
    <xdr:sp macro="" textlink="">
      <xdr:nvSpPr>
        <xdr:cNvPr id="41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A35E62FA-AB63-499B-ABF4-8C69342A7DC0}"/>
            </a:ext>
          </a:extLst>
        </xdr:cNvPr>
        <xdr:cNvSpPr/>
      </xdr:nvSpPr>
      <xdr:spPr bwMode="auto">
        <a:xfrm>
          <a:off x="42462450" y="0"/>
          <a:ext cx="3387101" cy="325093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25</xdr:col>
      <xdr:colOff>0</xdr:colOff>
      <xdr:row>0</xdr:row>
      <xdr:rowOff>0</xdr:rowOff>
    </xdr:from>
    <xdr:ext cx="2295525" cy="315568"/>
    <xdr:sp macro="" textlink="">
      <xdr:nvSpPr>
        <xdr:cNvPr id="42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12F4A7B4-5602-41B7-BFA2-C4D03E0A3DF8}"/>
            </a:ext>
          </a:extLst>
        </xdr:cNvPr>
        <xdr:cNvSpPr/>
      </xdr:nvSpPr>
      <xdr:spPr bwMode="auto">
        <a:xfrm>
          <a:off x="42462450" y="0"/>
          <a:ext cx="2295525" cy="3155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0</xdr:colOff>
      <xdr:row>0</xdr:row>
      <xdr:rowOff>0</xdr:rowOff>
    </xdr:from>
    <xdr:ext cx="2295525" cy="315568"/>
    <xdr:sp macro="" textlink="">
      <xdr:nvSpPr>
        <xdr:cNvPr id="43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6CF5934F-C360-4BFC-B8AF-3237B19ACF61}"/>
            </a:ext>
          </a:extLst>
        </xdr:cNvPr>
        <xdr:cNvSpPr/>
      </xdr:nvSpPr>
      <xdr:spPr bwMode="auto">
        <a:xfrm>
          <a:off x="42462450" y="0"/>
          <a:ext cx="2295525" cy="3155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25</xdr:col>
      <xdr:colOff>0</xdr:colOff>
      <xdr:row>0</xdr:row>
      <xdr:rowOff>0</xdr:rowOff>
    </xdr:from>
    <xdr:to>
      <xdr:col>28</xdr:col>
      <xdr:colOff>650502</xdr:colOff>
      <xdr:row>1</xdr:row>
      <xdr:rowOff>133350</xdr:rowOff>
    </xdr:to>
    <xdr:sp macro="" textlink="">
      <xdr:nvSpPr>
        <xdr:cNvPr id="44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9EA830DF-0ED6-4291-9AE7-7DF5FE5EAFB2}"/>
            </a:ext>
          </a:extLst>
        </xdr:cNvPr>
        <xdr:cNvSpPr/>
      </xdr:nvSpPr>
      <xdr:spPr bwMode="auto">
        <a:xfrm>
          <a:off x="42700575" y="0"/>
          <a:ext cx="2936502" cy="3238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29</xdr:col>
      <xdr:colOff>413059</xdr:colOff>
      <xdr:row>1</xdr:row>
      <xdr:rowOff>131669</xdr:rowOff>
    </xdr:to>
    <xdr:sp macro="" textlink="">
      <xdr:nvSpPr>
        <xdr:cNvPr id="45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8250F040-1DEC-4CF5-B743-90EC00524E15}"/>
            </a:ext>
          </a:extLst>
        </xdr:cNvPr>
        <xdr:cNvSpPr/>
      </xdr:nvSpPr>
      <xdr:spPr bwMode="auto">
        <a:xfrm>
          <a:off x="42462450" y="0"/>
          <a:ext cx="3461059" cy="3221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7</xdr:row>
      <xdr:rowOff>9525</xdr:rowOff>
    </xdr:from>
    <xdr:to>
      <xdr:col>29</xdr:col>
      <xdr:colOff>339101</xdr:colOff>
      <xdr:row>8</xdr:row>
      <xdr:rowOff>134593</xdr:rowOff>
    </xdr:to>
    <xdr:sp macro="" textlink="">
      <xdr:nvSpPr>
        <xdr:cNvPr id="46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56398B0A-8798-4521-BB05-1F5E0A5381BA}"/>
            </a:ext>
          </a:extLst>
        </xdr:cNvPr>
        <xdr:cNvSpPr/>
      </xdr:nvSpPr>
      <xdr:spPr bwMode="auto">
        <a:xfrm>
          <a:off x="42462450" y="1381125"/>
          <a:ext cx="3387101" cy="3155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25</xdr:col>
      <xdr:colOff>0</xdr:colOff>
      <xdr:row>7</xdr:row>
      <xdr:rowOff>9525</xdr:rowOff>
    </xdr:from>
    <xdr:ext cx="2295525" cy="315568"/>
    <xdr:sp macro="" textlink="">
      <xdr:nvSpPr>
        <xdr:cNvPr id="47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FCAD66DE-8DC9-451E-AEDF-FAC986DDF6A7}"/>
            </a:ext>
          </a:extLst>
        </xdr:cNvPr>
        <xdr:cNvSpPr/>
      </xdr:nvSpPr>
      <xdr:spPr bwMode="auto">
        <a:xfrm>
          <a:off x="42462450" y="1381125"/>
          <a:ext cx="2295525" cy="3155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0</xdr:colOff>
      <xdr:row>7</xdr:row>
      <xdr:rowOff>9525</xdr:rowOff>
    </xdr:from>
    <xdr:ext cx="2295525" cy="315568"/>
    <xdr:sp macro="" textlink="">
      <xdr:nvSpPr>
        <xdr:cNvPr id="48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44E9AC55-EE9D-4E56-BFF7-02D83489D247}"/>
            </a:ext>
          </a:extLst>
        </xdr:cNvPr>
        <xdr:cNvSpPr/>
      </xdr:nvSpPr>
      <xdr:spPr bwMode="auto">
        <a:xfrm>
          <a:off x="42462450" y="1381125"/>
          <a:ext cx="2295525" cy="3155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25</xdr:col>
      <xdr:colOff>0</xdr:colOff>
      <xdr:row>7</xdr:row>
      <xdr:rowOff>9525</xdr:rowOff>
    </xdr:from>
    <xdr:to>
      <xdr:col>28</xdr:col>
      <xdr:colOff>650502</xdr:colOff>
      <xdr:row>8</xdr:row>
      <xdr:rowOff>133350</xdr:rowOff>
    </xdr:to>
    <xdr:sp macro="" textlink="">
      <xdr:nvSpPr>
        <xdr:cNvPr id="49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DEC7C4B4-931F-4738-85BF-C10BEA01D360}"/>
            </a:ext>
          </a:extLst>
        </xdr:cNvPr>
        <xdr:cNvSpPr/>
      </xdr:nvSpPr>
      <xdr:spPr bwMode="auto">
        <a:xfrm>
          <a:off x="42700575" y="1381125"/>
          <a:ext cx="2936502" cy="31432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25</xdr:col>
      <xdr:colOff>0</xdr:colOff>
      <xdr:row>7</xdr:row>
      <xdr:rowOff>9525</xdr:rowOff>
    </xdr:from>
    <xdr:ext cx="2286317" cy="314325"/>
    <xdr:sp macro="" textlink="">
      <xdr:nvSpPr>
        <xdr:cNvPr id="50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A5AF0A3C-6F33-4464-8053-248B5E04FFAA}"/>
            </a:ext>
          </a:extLst>
        </xdr:cNvPr>
        <xdr:cNvSpPr/>
      </xdr:nvSpPr>
      <xdr:spPr bwMode="auto">
        <a:xfrm>
          <a:off x="45948600" y="1381125"/>
          <a:ext cx="2286317" cy="31432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0</xdr:colOff>
      <xdr:row>7</xdr:row>
      <xdr:rowOff>9525</xdr:rowOff>
    </xdr:from>
    <xdr:ext cx="2286317" cy="314325"/>
    <xdr:sp macro="" textlink="">
      <xdr:nvSpPr>
        <xdr:cNvPr id="51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457C48B4-893D-44BE-9AE2-4CFA295C71DF}"/>
            </a:ext>
          </a:extLst>
        </xdr:cNvPr>
        <xdr:cNvSpPr/>
      </xdr:nvSpPr>
      <xdr:spPr bwMode="auto">
        <a:xfrm>
          <a:off x="47205900" y="1381125"/>
          <a:ext cx="2286317" cy="31432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0</xdr:colOff>
      <xdr:row>7</xdr:row>
      <xdr:rowOff>9525</xdr:rowOff>
    </xdr:from>
    <xdr:ext cx="2286317" cy="314325"/>
    <xdr:sp macro="" textlink="">
      <xdr:nvSpPr>
        <xdr:cNvPr id="52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3D9A642E-A46D-4DCC-A54E-85150A12D754}"/>
            </a:ext>
          </a:extLst>
        </xdr:cNvPr>
        <xdr:cNvSpPr/>
      </xdr:nvSpPr>
      <xdr:spPr bwMode="auto">
        <a:xfrm>
          <a:off x="48463200" y="1381125"/>
          <a:ext cx="2286317" cy="31432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800100</xdr:colOff>
      <xdr:row>1</xdr:row>
      <xdr:rowOff>47624</xdr:rowOff>
    </xdr:from>
    <xdr:to>
      <xdr:col>1</xdr:col>
      <xdr:colOff>1708285</xdr:colOff>
      <xdr:row>6</xdr:row>
      <xdr:rowOff>47624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5114ED15-516F-458F-9C84-582E9FE90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700" y="247649"/>
          <a:ext cx="908185" cy="942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0</xdr:row>
      <xdr:rowOff>0</xdr:rowOff>
    </xdr:from>
    <xdr:to>
      <xdr:col>28</xdr:col>
      <xdr:colOff>74554</xdr:colOff>
      <xdr:row>1</xdr:row>
      <xdr:rowOff>146521</xdr:rowOff>
    </xdr:to>
    <xdr:sp macro="" textlink="">
      <xdr:nvSpPr>
        <xdr:cNvPr id="2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76A7A906-BDFA-490B-9598-0DECD8445A43}"/>
            </a:ext>
          </a:extLst>
        </xdr:cNvPr>
        <xdr:cNvSpPr/>
      </xdr:nvSpPr>
      <xdr:spPr bwMode="auto">
        <a:xfrm>
          <a:off x="11239500" y="0"/>
          <a:ext cx="2360554" cy="33997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27</xdr:col>
      <xdr:colOff>746478</xdr:colOff>
      <xdr:row>1</xdr:row>
      <xdr:rowOff>150687</xdr:rowOff>
    </xdr:to>
    <xdr:sp macro="" textlink="">
      <xdr:nvSpPr>
        <xdr:cNvPr id="3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D1BE1441-C52E-4D28-89DA-69FEE3E69438}"/>
            </a:ext>
          </a:extLst>
        </xdr:cNvPr>
        <xdr:cNvSpPr/>
      </xdr:nvSpPr>
      <xdr:spPr bwMode="auto">
        <a:xfrm>
          <a:off x="11239500" y="0"/>
          <a:ext cx="2270478" cy="344143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25</xdr:col>
      <xdr:colOff>0</xdr:colOff>
      <xdr:row>0</xdr:row>
      <xdr:rowOff>0</xdr:rowOff>
    </xdr:from>
    <xdr:ext cx="2295525" cy="315568"/>
    <xdr:sp macro="" textlink="">
      <xdr:nvSpPr>
        <xdr:cNvPr id="4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01D2A10A-49E2-40C5-824E-9BD518268380}"/>
            </a:ext>
          </a:extLst>
        </xdr:cNvPr>
        <xdr:cNvSpPr/>
      </xdr:nvSpPr>
      <xdr:spPr bwMode="auto">
        <a:xfrm>
          <a:off x="11239500" y="0"/>
          <a:ext cx="2295525" cy="3155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0</xdr:colOff>
      <xdr:row>0</xdr:row>
      <xdr:rowOff>0</xdr:rowOff>
    </xdr:from>
    <xdr:ext cx="2295525" cy="315568"/>
    <xdr:sp macro="" textlink="">
      <xdr:nvSpPr>
        <xdr:cNvPr id="5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A44C6389-8BF9-40E0-BFD2-6AC2FF5EB710}"/>
            </a:ext>
          </a:extLst>
        </xdr:cNvPr>
        <xdr:cNvSpPr/>
      </xdr:nvSpPr>
      <xdr:spPr bwMode="auto">
        <a:xfrm>
          <a:off x="11239500" y="0"/>
          <a:ext cx="2295525" cy="3155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25</xdr:col>
      <xdr:colOff>0</xdr:colOff>
      <xdr:row>0</xdr:row>
      <xdr:rowOff>0</xdr:rowOff>
    </xdr:from>
    <xdr:to>
      <xdr:col>27</xdr:col>
      <xdr:colOff>759387</xdr:colOff>
      <xdr:row>1</xdr:row>
      <xdr:rowOff>149444</xdr:rowOff>
    </xdr:to>
    <xdr:sp macro="" textlink="">
      <xdr:nvSpPr>
        <xdr:cNvPr id="6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D8889B3A-E87C-4621-93F4-162496E3E06F}"/>
            </a:ext>
          </a:extLst>
        </xdr:cNvPr>
        <xdr:cNvSpPr/>
      </xdr:nvSpPr>
      <xdr:spPr bwMode="auto">
        <a:xfrm>
          <a:off x="11239500" y="0"/>
          <a:ext cx="2283387" cy="3429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28</xdr:col>
      <xdr:colOff>31061</xdr:colOff>
      <xdr:row>1</xdr:row>
      <xdr:rowOff>168494</xdr:rowOff>
    </xdr:to>
    <xdr:sp macro="" textlink="">
      <xdr:nvSpPr>
        <xdr:cNvPr id="7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87FDE07F-3845-425E-B1B4-92B185D40DA6}"/>
            </a:ext>
          </a:extLst>
        </xdr:cNvPr>
        <xdr:cNvSpPr/>
      </xdr:nvSpPr>
      <xdr:spPr bwMode="auto">
        <a:xfrm>
          <a:off x="11239500" y="0"/>
          <a:ext cx="2317061" cy="3619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28</xdr:col>
      <xdr:colOff>31061</xdr:colOff>
      <xdr:row>1</xdr:row>
      <xdr:rowOff>179262</xdr:rowOff>
    </xdr:to>
    <xdr:sp macro="" textlink="">
      <xdr:nvSpPr>
        <xdr:cNvPr id="8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B8966B7B-6848-40F9-B827-DA888B3DEB07}"/>
            </a:ext>
          </a:extLst>
        </xdr:cNvPr>
        <xdr:cNvSpPr/>
      </xdr:nvSpPr>
      <xdr:spPr bwMode="auto">
        <a:xfrm>
          <a:off x="11239500" y="0"/>
          <a:ext cx="2317061" cy="37271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28</xdr:col>
      <xdr:colOff>31061</xdr:colOff>
      <xdr:row>1</xdr:row>
      <xdr:rowOff>187544</xdr:rowOff>
    </xdr:to>
    <xdr:sp macro="" textlink="">
      <xdr:nvSpPr>
        <xdr:cNvPr id="9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2765D8DD-5748-4793-A235-E6B0DBECFD85}"/>
            </a:ext>
          </a:extLst>
        </xdr:cNvPr>
        <xdr:cNvSpPr/>
      </xdr:nvSpPr>
      <xdr:spPr bwMode="auto">
        <a:xfrm>
          <a:off x="11239500" y="0"/>
          <a:ext cx="2317061" cy="3810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28</xdr:col>
      <xdr:colOff>31061</xdr:colOff>
      <xdr:row>1</xdr:row>
      <xdr:rowOff>149444</xdr:rowOff>
    </xdr:to>
    <xdr:sp macro="" textlink="">
      <xdr:nvSpPr>
        <xdr:cNvPr id="10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11250768-1077-4D1A-971E-1669BAF8D57D}"/>
            </a:ext>
          </a:extLst>
        </xdr:cNvPr>
        <xdr:cNvSpPr/>
      </xdr:nvSpPr>
      <xdr:spPr bwMode="auto">
        <a:xfrm>
          <a:off x="11239500" y="0"/>
          <a:ext cx="2317061" cy="3429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28</xdr:col>
      <xdr:colOff>31061</xdr:colOff>
      <xdr:row>1</xdr:row>
      <xdr:rowOff>158969</xdr:rowOff>
    </xdr:to>
    <xdr:sp macro="" textlink="">
      <xdr:nvSpPr>
        <xdr:cNvPr id="11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D04FDD8D-9893-4E09-BD33-88C24A94DF7E}"/>
            </a:ext>
          </a:extLst>
        </xdr:cNvPr>
        <xdr:cNvSpPr/>
      </xdr:nvSpPr>
      <xdr:spPr bwMode="auto">
        <a:xfrm>
          <a:off x="11239500" y="0"/>
          <a:ext cx="2317061" cy="35242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28</xdr:col>
      <xdr:colOff>79684</xdr:colOff>
      <xdr:row>1</xdr:row>
      <xdr:rowOff>166813</xdr:rowOff>
    </xdr:to>
    <xdr:sp macro="" textlink="">
      <xdr:nvSpPr>
        <xdr:cNvPr id="12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4E3BC1BD-4A98-4842-A173-99913A9CB661}"/>
            </a:ext>
          </a:extLst>
        </xdr:cNvPr>
        <xdr:cNvSpPr/>
      </xdr:nvSpPr>
      <xdr:spPr bwMode="auto">
        <a:xfrm>
          <a:off x="11239500" y="0"/>
          <a:ext cx="2365684" cy="3602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28</xdr:col>
      <xdr:colOff>5726</xdr:colOff>
      <xdr:row>1</xdr:row>
      <xdr:rowOff>160212</xdr:rowOff>
    </xdr:to>
    <xdr:sp macro="" textlink="">
      <xdr:nvSpPr>
        <xdr:cNvPr id="13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33C44BE8-FB43-4419-8823-31D2CCE86D8F}"/>
            </a:ext>
          </a:extLst>
        </xdr:cNvPr>
        <xdr:cNvSpPr/>
      </xdr:nvSpPr>
      <xdr:spPr bwMode="auto">
        <a:xfrm>
          <a:off x="11239500" y="0"/>
          <a:ext cx="2291726" cy="3536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25</xdr:col>
      <xdr:colOff>0</xdr:colOff>
      <xdr:row>0</xdr:row>
      <xdr:rowOff>0</xdr:rowOff>
    </xdr:from>
    <xdr:ext cx="2295525" cy="315568"/>
    <xdr:sp macro="" textlink="">
      <xdr:nvSpPr>
        <xdr:cNvPr id="14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A5E05EF2-747D-457F-B3F4-A23CE8F91A58}"/>
            </a:ext>
          </a:extLst>
        </xdr:cNvPr>
        <xdr:cNvSpPr/>
      </xdr:nvSpPr>
      <xdr:spPr bwMode="auto">
        <a:xfrm>
          <a:off x="11239500" y="0"/>
          <a:ext cx="2295525" cy="3155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0</xdr:colOff>
      <xdr:row>0</xdr:row>
      <xdr:rowOff>0</xdr:rowOff>
    </xdr:from>
    <xdr:ext cx="2295525" cy="315568"/>
    <xdr:sp macro="" textlink="">
      <xdr:nvSpPr>
        <xdr:cNvPr id="15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DC7126A7-7302-4097-9D24-3AB091BB809B}"/>
            </a:ext>
          </a:extLst>
        </xdr:cNvPr>
        <xdr:cNvSpPr/>
      </xdr:nvSpPr>
      <xdr:spPr bwMode="auto">
        <a:xfrm>
          <a:off x="11239500" y="0"/>
          <a:ext cx="2295525" cy="3155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25</xdr:col>
      <xdr:colOff>0</xdr:colOff>
      <xdr:row>0</xdr:row>
      <xdr:rowOff>0</xdr:rowOff>
    </xdr:from>
    <xdr:to>
      <xdr:col>27</xdr:col>
      <xdr:colOff>761871</xdr:colOff>
      <xdr:row>1</xdr:row>
      <xdr:rowOff>158969</xdr:rowOff>
    </xdr:to>
    <xdr:sp macro="" textlink="">
      <xdr:nvSpPr>
        <xdr:cNvPr id="16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9A0C8C41-419D-4DC4-AE0A-C09C193663DE}"/>
            </a:ext>
          </a:extLst>
        </xdr:cNvPr>
        <xdr:cNvSpPr/>
      </xdr:nvSpPr>
      <xdr:spPr bwMode="auto">
        <a:xfrm>
          <a:off x="11239500" y="0"/>
          <a:ext cx="2285871" cy="35242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28</xdr:col>
      <xdr:colOff>79684</xdr:colOff>
      <xdr:row>1</xdr:row>
      <xdr:rowOff>157288</xdr:rowOff>
    </xdr:to>
    <xdr:sp macro="" textlink="">
      <xdr:nvSpPr>
        <xdr:cNvPr id="17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4C3CEF4E-3E65-48E1-8241-12AC742F6118}"/>
            </a:ext>
          </a:extLst>
        </xdr:cNvPr>
        <xdr:cNvSpPr/>
      </xdr:nvSpPr>
      <xdr:spPr bwMode="auto">
        <a:xfrm>
          <a:off x="11239500" y="0"/>
          <a:ext cx="2365684" cy="35074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62343</xdr:colOff>
      <xdr:row>0</xdr:row>
      <xdr:rowOff>149087</xdr:rowOff>
    </xdr:from>
    <xdr:to>
      <xdr:col>20</xdr:col>
      <xdr:colOff>302855</xdr:colOff>
      <xdr:row>4</xdr:row>
      <xdr:rowOff>33512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426A10D2-460A-400A-B7A2-5FF5382EF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92043" y="149087"/>
          <a:ext cx="564363" cy="649381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9525</xdr:rowOff>
    </xdr:from>
    <xdr:to>
      <xdr:col>28</xdr:col>
      <xdr:colOff>5726</xdr:colOff>
      <xdr:row>8</xdr:row>
      <xdr:rowOff>134593</xdr:rowOff>
    </xdr:to>
    <xdr:sp macro="" textlink="">
      <xdr:nvSpPr>
        <xdr:cNvPr id="19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6E0AF125-ED0F-4F93-ACAF-31D97ADB8094}"/>
            </a:ext>
          </a:extLst>
        </xdr:cNvPr>
        <xdr:cNvSpPr/>
      </xdr:nvSpPr>
      <xdr:spPr bwMode="auto">
        <a:xfrm>
          <a:off x="11239500" y="1371600"/>
          <a:ext cx="2291726" cy="4298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25</xdr:col>
      <xdr:colOff>0</xdr:colOff>
      <xdr:row>7</xdr:row>
      <xdr:rowOff>9525</xdr:rowOff>
    </xdr:from>
    <xdr:ext cx="2295525" cy="315568"/>
    <xdr:sp macro="" textlink="">
      <xdr:nvSpPr>
        <xdr:cNvPr id="20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7B7EB017-E951-4E44-BAD6-D66FA0576606}"/>
            </a:ext>
          </a:extLst>
        </xdr:cNvPr>
        <xdr:cNvSpPr/>
      </xdr:nvSpPr>
      <xdr:spPr bwMode="auto">
        <a:xfrm>
          <a:off x="11239500" y="1371600"/>
          <a:ext cx="2295525" cy="3155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0</xdr:colOff>
      <xdr:row>7</xdr:row>
      <xdr:rowOff>9525</xdr:rowOff>
    </xdr:from>
    <xdr:ext cx="2295525" cy="315568"/>
    <xdr:sp macro="" textlink="">
      <xdr:nvSpPr>
        <xdr:cNvPr id="21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D894FE15-D761-47E5-9A19-95012DC64692}"/>
            </a:ext>
          </a:extLst>
        </xdr:cNvPr>
        <xdr:cNvSpPr/>
      </xdr:nvSpPr>
      <xdr:spPr bwMode="auto">
        <a:xfrm>
          <a:off x="11239500" y="1371600"/>
          <a:ext cx="2295525" cy="3155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25</xdr:col>
      <xdr:colOff>0</xdr:colOff>
      <xdr:row>7</xdr:row>
      <xdr:rowOff>9525</xdr:rowOff>
    </xdr:from>
    <xdr:to>
      <xdr:col>27</xdr:col>
      <xdr:colOff>761871</xdr:colOff>
      <xdr:row>8</xdr:row>
      <xdr:rowOff>133350</xdr:rowOff>
    </xdr:to>
    <xdr:sp macro="" textlink="">
      <xdr:nvSpPr>
        <xdr:cNvPr id="22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CFF1D99D-1BCC-49C7-A5A8-97B4BD9C4B3C}"/>
            </a:ext>
          </a:extLst>
        </xdr:cNvPr>
        <xdr:cNvSpPr/>
      </xdr:nvSpPr>
      <xdr:spPr bwMode="auto">
        <a:xfrm>
          <a:off x="11239500" y="1371600"/>
          <a:ext cx="2285871" cy="42862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25</xdr:col>
      <xdr:colOff>0</xdr:colOff>
      <xdr:row>7</xdr:row>
      <xdr:rowOff>9525</xdr:rowOff>
    </xdr:from>
    <xdr:ext cx="2286317" cy="314325"/>
    <xdr:sp macro="" textlink="">
      <xdr:nvSpPr>
        <xdr:cNvPr id="23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44F8EDC2-D8C2-48B1-BCFD-D8D4E2E2E84E}"/>
            </a:ext>
          </a:extLst>
        </xdr:cNvPr>
        <xdr:cNvSpPr/>
      </xdr:nvSpPr>
      <xdr:spPr bwMode="auto">
        <a:xfrm>
          <a:off x="11239500" y="1371600"/>
          <a:ext cx="2286317" cy="31432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0</xdr:colOff>
      <xdr:row>7</xdr:row>
      <xdr:rowOff>9525</xdr:rowOff>
    </xdr:from>
    <xdr:ext cx="2286317" cy="314325"/>
    <xdr:sp macro="" textlink="">
      <xdr:nvSpPr>
        <xdr:cNvPr id="24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C400CFBF-054B-4144-BCD2-04E211779E2F}"/>
            </a:ext>
          </a:extLst>
        </xdr:cNvPr>
        <xdr:cNvSpPr/>
      </xdr:nvSpPr>
      <xdr:spPr bwMode="auto">
        <a:xfrm>
          <a:off x="11239500" y="1371600"/>
          <a:ext cx="2286317" cy="31432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0</xdr:colOff>
      <xdr:row>7</xdr:row>
      <xdr:rowOff>9525</xdr:rowOff>
    </xdr:from>
    <xdr:ext cx="2286317" cy="314325"/>
    <xdr:sp macro="" textlink="">
      <xdr:nvSpPr>
        <xdr:cNvPr id="25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3AC6F5DC-4E82-4D05-AA22-8A39A26021F1}"/>
            </a:ext>
          </a:extLst>
        </xdr:cNvPr>
        <xdr:cNvSpPr/>
      </xdr:nvSpPr>
      <xdr:spPr bwMode="auto">
        <a:xfrm>
          <a:off x="11239500" y="1371600"/>
          <a:ext cx="2286317" cy="31432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0</xdr:colOff>
      <xdr:row>0</xdr:row>
      <xdr:rowOff>0</xdr:rowOff>
    </xdr:from>
    <xdr:ext cx="2270478" cy="334618"/>
    <xdr:sp macro="" textlink="">
      <xdr:nvSpPr>
        <xdr:cNvPr id="26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24CDE4D7-8119-4562-A888-25A34C63EB2C}"/>
            </a:ext>
          </a:extLst>
        </xdr:cNvPr>
        <xdr:cNvSpPr/>
      </xdr:nvSpPr>
      <xdr:spPr bwMode="auto">
        <a:xfrm>
          <a:off x="11239500" y="0"/>
          <a:ext cx="2270478" cy="33461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25</xdr:col>
      <xdr:colOff>0</xdr:colOff>
      <xdr:row>0</xdr:row>
      <xdr:rowOff>0</xdr:rowOff>
    </xdr:from>
    <xdr:to>
      <xdr:col>29</xdr:col>
      <xdr:colOff>364436</xdr:colOff>
      <xdr:row>1</xdr:row>
      <xdr:rowOff>149444</xdr:rowOff>
    </xdr:to>
    <xdr:sp macro="" textlink="">
      <xdr:nvSpPr>
        <xdr:cNvPr id="27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62548E84-1B8B-4C3C-BCB1-52A5D325ADDF}"/>
            </a:ext>
          </a:extLst>
        </xdr:cNvPr>
        <xdr:cNvSpPr/>
      </xdr:nvSpPr>
      <xdr:spPr bwMode="auto">
        <a:xfrm>
          <a:off x="11239500" y="0"/>
          <a:ext cx="3412436" cy="3429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29</xdr:col>
      <xdr:colOff>364436</xdr:colOff>
      <xdr:row>1</xdr:row>
      <xdr:rowOff>160212</xdr:rowOff>
    </xdr:to>
    <xdr:sp macro="" textlink="">
      <xdr:nvSpPr>
        <xdr:cNvPr id="28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56051FD8-E894-4B22-BDFC-203929B15892}"/>
            </a:ext>
          </a:extLst>
        </xdr:cNvPr>
        <xdr:cNvSpPr/>
      </xdr:nvSpPr>
      <xdr:spPr bwMode="auto">
        <a:xfrm>
          <a:off x="11239500" y="0"/>
          <a:ext cx="3412436" cy="3536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29</xdr:col>
      <xdr:colOff>364436</xdr:colOff>
      <xdr:row>1</xdr:row>
      <xdr:rowOff>168494</xdr:rowOff>
    </xdr:to>
    <xdr:sp macro="" textlink="">
      <xdr:nvSpPr>
        <xdr:cNvPr id="29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265E709F-9CAE-458B-9566-6E06A26B2740}"/>
            </a:ext>
          </a:extLst>
        </xdr:cNvPr>
        <xdr:cNvSpPr/>
      </xdr:nvSpPr>
      <xdr:spPr bwMode="auto">
        <a:xfrm>
          <a:off x="11239500" y="0"/>
          <a:ext cx="3412436" cy="3619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29</xdr:col>
      <xdr:colOff>364436</xdr:colOff>
      <xdr:row>1</xdr:row>
      <xdr:rowOff>130394</xdr:rowOff>
    </xdr:to>
    <xdr:sp macro="" textlink="">
      <xdr:nvSpPr>
        <xdr:cNvPr id="30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DC8B7693-30B9-4E69-9D6C-92EDA516ACF5}"/>
            </a:ext>
          </a:extLst>
        </xdr:cNvPr>
        <xdr:cNvSpPr/>
      </xdr:nvSpPr>
      <xdr:spPr bwMode="auto">
        <a:xfrm>
          <a:off x="11239500" y="0"/>
          <a:ext cx="3412436" cy="3238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29</xdr:col>
      <xdr:colOff>364436</xdr:colOff>
      <xdr:row>1</xdr:row>
      <xdr:rowOff>139919</xdr:rowOff>
    </xdr:to>
    <xdr:sp macro="" textlink="">
      <xdr:nvSpPr>
        <xdr:cNvPr id="31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910D1611-5885-45B6-B041-314590AD2BED}"/>
            </a:ext>
          </a:extLst>
        </xdr:cNvPr>
        <xdr:cNvSpPr/>
      </xdr:nvSpPr>
      <xdr:spPr bwMode="auto">
        <a:xfrm>
          <a:off x="11239500" y="0"/>
          <a:ext cx="3412436" cy="3333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29</xdr:col>
      <xdr:colOff>413059</xdr:colOff>
      <xdr:row>1</xdr:row>
      <xdr:rowOff>147763</xdr:rowOff>
    </xdr:to>
    <xdr:sp macro="" textlink="">
      <xdr:nvSpPr>
        <xdr:cNvPr id="32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5F77A2A9-36F3-48CC-A1EF-172645937061}"/>
            </a:ext>
          </a:extLst>
        </xdr:cNvPr>
        <xdr:cNvSpPr/>
      </xdr:nvSpPr>
      <xdr:spPr bwMode="auto">
        <a:xfrm>
          <a:off x="11239500" y="0"/>
          <a:ext cx="3461059" cy="34121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29</xdr:col>
      <xdr:colOff>339101</xdr:colOff>
      <xdr:row>1</xdr:row>
      <xdr:rowOff>141162</xdr:rowOff>
    </xdr:to>
    <xdr:sp macro="" textlink="">
      <xdr:nvSpPr>
        <xdr:cNvPr id="33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22155EDF-850E-4159-AFD1-1C603E6F38C5}"/>
            </a:ext>
          </a:extLst>
        </xdr:cNvPr>
        <xdr:cNvSpPr/>
      </xdr:nvSpPr>
      <xdr:spPr bwMode="auto">
        <a:xfrm>
          <a:off x="11239500" y="0"/>
          <a:ext cx="3387101" cy="33461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25</xdr:col>
      <xdr:colOff>0</xdr:colOff>
      <xdr:row>0</xdr:row>
      <xdr:rowOff>0</xdr:rowOff>
    </xdr:from>
    <xdr:ext cx="2295525" cy="315568"/>
    <xdr:sp macro="" textlink="">
      <xdr:nvSpPr>
        <xdr:cNvPr id="34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8824949F-1E5B-4035-BEFD-5813AFA4E513}"/>
            </a:ext>
          </a:extLst>
        </xdr:cNvPr>
        <xdr:cNvSpPr/>
      </xdr:nvSpPr>
      <xdr:spPr bwMode="auto">
        <a:xfrm>
          <a:off x="11239500" y="0"/>
          <a:ext cx="2295525" cy="3155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0</xdr:colOff>
      <xdr:row>0</xdr:row>
      <xdr:rowOff>0</xdr:rowOff>
    </xdr:from>
    <xdr:ext cx="2295525" cy="315568"/>
    <xdr:sp macro="" textlink="">
      <xdr:nvSpPr>
        <xdr:cNvPr id="35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59099408-C9B5-44F3-9F48-DC5DE204DCE9}"/>
            </a:ext>
          </a:extLst>
        </xdr:cNvPr>
        <xdr:cNvSpPr/>
      </xdr:nvSpPr>
      <xdr:spPr bwMode="auto">
        <a:xfrm>
          <a:off x="11239500" y="0"/>
          <a:ext cx="2295525" cy="3155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25</xdr:col>
      <xdr:colOff>0</xdr:colOff>
      <xdr:row>0</xdr:row>
      <xdr:rowOff>0</xdr:rowOff>
    </xdr:from>
    <xdr:to>
      <xdr:col>28</xdr:col>
      <xdr:colOff>650502</xdr:colOff>
      <xdr:row>1</xdr:row>
      <xdr:rowOff>139919</xdr:rowOff>
    </xdr:to>
    <xdr:sp macro="" textlink="">
      <xdr:nvSpPr>
        <xdr:cNvPr id="36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C3F1A30B-66C2-45CF-90F8-152A315D8F79}"/>
            </a:ext>
          </a:extLst>
        </xdr:cNvPr>
        <xdr:cNvSpPr/>
      </xdr:nvSpPr>
      <xdr:spPr bwMode="auto">
        <a:xfrm>
          <a:off x="11239500" y="0"/>
          <a:ext cx="2936502" cy="3333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0</xdr:row>
      <xdr:rowOff>0</xdr:rowOff>
    </xdr:from>
    <xdr:to>
      <xdr:col>29</xdr:col>
      <xdr:colOff>413059</xdr:colOff>
      <xdr:row>1</xdr:row>
      <xdr:rowOff>138238</xdr:rowOff>
    </xdr:to>
    <xdr:sp macro="" textlink="">
      <xdr:nvSpPr>
        <xdr:cNvPr id="37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5CD58DBD-766A-48EC-AFDE-26CF08EBA7FB}"/>
            </a:ext>
          </a:extLst>
        </xdr:cNvPr>
        <xdr:cNvSpPr/>
      </xdr:nvSpPr>
      <xdr:spPr bwMode="auto">
        <a:xfrm>
          <a:off x="11239500" y="0"/>
          <a:ext cx="3461059" cy="331694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7</xdr:row>
      <xdr:rowOff>9525</xdr:rowOff>
    </xdr:from>
    <xdr:to>
      <xdr:col>29</xdr:col>
      <xdr:colOff>339101</xdr:colOff>
      <xdr:row>8</xdr:row>
      <xdr:rowOff>134593</xdr:rowOff>
    </xdr:to>
    <xdr:sp macro="" textlink="">
      <xdr:nvSpPr>
        <xdr:cNvPr id="38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E392CEE6-1C9C-4353-AB5B-E18243041362}"/>
            </a:ext>
          </a:extLst>
        </xdr:cNvPr>
        <xdr:cNvSpPr/>
      </xdr:nvSpPr>
      <xdr:spPr bwMode="auto">
        <a:xfrm>
          <a:off x="11239500" y="1371600"/>
          <a:ext cx="3387101" cy="4298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25</xdr:col>
      <xdr:colOff>0</xdr:colOff>
      <xdr:row>7</xdr:row>
      <xdr:rowOff>9525</xdr:rowOff>
    </xdr:from>
    <xdr:ext cx="2295525" cy="315568"/>
    <xdr:sp macro="" textlink="">
      <xdr:nvSpPr>
        <xdr:cNvPr id="39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FE9426A5-2EB1-4872-8FB1-87AB24AFBDD9}"/>
            </a:ext>
          </a:extLst>
        </xdr:cNvPr>
        <xdr:cNvSpPr/>
      </xdr:nvSpPr>
      <xdr:spPr bwMode="auto">
        <a:xfrm>
          <a:off x="11239500" y="1371600"/>
          <a:ext cx="2295525" cy="3155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0</xdr:colOff>
      <xdr:row>7</xdr:row>
      <xdr:rowOff>9525</xdr:rowOff>
    </xdr:from>
    <xdr:ext cx="2295525" cy="315568"/>
    <xdr:sp macro="" textlink="">
      <xdr:nvSpPr>
        <xdr:cNvPr id="40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34B08594-5C40-40A7-B9B1-E623D8A552BF}"/>
            </a:ext>
          </a:extLst>
        </xdr:cNvPr>
        <xdr:cNvSpPr/>
      </xdr:nvSpPr>
      <xdr:spPr bwMode="auto">
        <a:xfrm>
          <a:off x="11239500" y="1371600"/>
          <a:ext cx="2295525" cy="315568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25</xdr:col>
      <xdr:colOff>0</xdr:colOff>
      <xdr:row>7</xdr:row>
      <xdr:rowOff>9525</xdr:rowOff>
    </xdr:from>
    <xdr:to>
      <xdr:col>28</xdr:col>
      <xdr:colOff>650502</xdr:colOff>
      <xdr:row>8</xdr:row>
      <xdr:rowOff>133350</xdr:rowOff>
    </xdr:to>
    <xdr:sp macro="" textlink="">
      <xdr:nvSpPr>
        <xdr:cNvPr id="41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E186B483-801F-4B1D-88B7-CE8F0FEFEAA0}"/>
            </a:ext>
          </a:extLst>
        </xdr:cNvPr>
        <xdr:cNvSpPr/>
      </xdr:nvSpPr>
      <xdr:spPr bwMode="auto">
        <a:xfrm>
          <a:off x="11239500" y="1371600"/>
          <a:ext cx="2936502" cy="42862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25</xdr:col>
      <xdr:colOff>0</xdr:colOff>
      <xdr:row>7</xdr:row>
      <xdr:rowOff>9525</xdr:rowOff>
    </xdr:from>
    <xdr:ext cx="2286317" cy="314325"/>
    <xdr:sp macro="" textlink="">
      <xdr:nvSpPr>
        <xdr:cNvPr id="42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AD97D5BD-46FD-4343-9311-3BA063E2C71F}"/>
            </a:ext>
          </a:extLst>
        </xdr:cNvPr>
        <xdr:cNvSpPr/>
      </xdr:nvSpPr>
      <xdr:spPr bwMode="auto">
        <a:xfrm>
          <a:off x="11239500" y="1371600"/>
          <a:ext cx="2286317" cy="31432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0</xdr:colOff>
      <xdr:row>7</xdr:row>
      <xdr:rowOff>9525</xdr:rowOff>
    </xdr:from>
    <xdr:ext cx="2286317" cy="314325"/>
    <xdr:sp macro="" textlink="">
      <xdr:nvSpPr>
        <xdr:cNvPr id="43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7835C6B9-7E4F-43B9-A511-4C6A7253A659}"/>
            </a:ext>
          </a:extLst>
        </xdr:cNvPr>
        <xdr:cNvSpPr/>
      </xdr:nvSpPr>
      <xdr:spPr bwMode="auto">
        <a:xfrm>
          <a:off x="11239500" y="1371600"/>
          <a:ext cx="2286317" cy="31432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25</xdr:col>
      <xdr:colOff>0</xdr:colOff>
      <xdr:row>7</xdr:row>
      <xdr:rowOff>9525</xdr:rowOff>
    </xdr:from>
    <xdr:ext cx="2286317" cy="314325"/>
    <xdr:sp macro="" textlink="">
      <xdr:nvSpPr>
        <xdr:cNvPr id="44" name="CommandButton1" hidden="1">
          <a:extLst>
            <a:ext uri="{63B3BB69-23CF-44E3-9099-C40C66FF867C}">
              <a14:compatExt xmlns:a14="http://schemas.microsoft.com/office/drawing/2010/main" spid="_x0000_s26625"/>
            </a:ext>
            <a:ext uri="{FF2B5EF4-FFF2-40B4-BE49-F238E27FC236}">
              <a16:creationId xmlns:a16="http://schemas.microsoft.com/office/drawing/2014/main" id="{882F72C5-B105-44C0-8205-0B3803549717}"/>
            </a:ext>
          </a:extLst>
        </xdr:cNvPr>
        <xdr:cNvSpPr/>
      </xdr:nvSpPr>
      <xdr:spPr bwMode="auto">
        <a:xfrm>
          <a:off x="11239500" y="1371600"/>
          <a:ext cx="2286317" cy="31432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800100</xdr:colOff>
      <xdr:row>1</xdr:row>
      <xdr:rowOff>47624</xdr:rowOff>
    </xdr:from>
    <xdr:to>
      <xdr:col>1</xdr:col>
      <xdr:colOff>1708285</xdr:colOff>
      <xdr:row>6</xdr:row>
      <xdr:rowOff>47624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8F3DD8D0-3A3A-4BD4-884B-162D8E9B8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700" y="247649"/>
          <a:ext cx="908185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08D1E-802A-45A6-B3B0-3773CFECA412}">
  <dimension ref="A1:Y44"/>
  <sheetViews>
    <sheetView topLeftCell="A3" zoomScale="145" zoomScaleNormal="145" workbookViewId="0">
      <selection activeCell="C8" sqref="C8:J8"/>
    </sheetView>
  </sheetViews>
  <sheetFormatPr baseColWidth="10" defaultColWidth="11.42578125" defaultRowHeight="15" x14ac:dyDescent="0.25"/>
  <cols>
    <col min="1" max="1" width="3.42578125" style="1" bestFit="1" customWidth="1"/>
    <col min="2" max="2" width="38.5703125" style="1" customWidth="1"/>
    <col min="3" max="3" width="7.28515625" style="1" customWidth="1"/>
    <col min="4" max="4" width="4.5703125" style="1" customWidth="1"/>
    <col min="5" max="5" width="6.28515625" style="1" customWidth="1"/>
    <col min="6" max="6" width="9.85546875" style="1" customWidth="1"/>
    <col min="7" max="9" width="4.5703125" style="1" customWidth="1"/>
    <col min="10" max="10" width="5.42578125" style="1" customWidth="1"/>
    <col min="11" max="11" width="5.5703125" style="1" customWidth="1"/>
    <col min="12" max="12" width="4.5703125" style="1" customWidth="1"/>
    <col min="13" max="13" width="6" style="1" customWidth="1"/>
    <col min="14" max="14" width="4.5703125" style="1" customWidth="1"/>
    <col min="15" max="15" width="5.7109375" style="1" customWidth="1"/>
    <col min="16" max="16" width="4.5703125" style="1" customWidth="1"/>
    <col min="17" max="17" width="5.5703125" style="1" customWidth="1"/>
    <col min="18" max="20" width="4.85546875" style="1" customWidth="1"/>
    <col min="21" max="21" width="9.42578125" style="1" customWidth="1"/>
    <col min="22" max="22" width="7.28515625" style="1" customWidth="1"/>
    <col min="23" max="24" width="4.5703125" style="1" customWidth="1"/>
    <col min="25" max="25" width="2.42578125" style="1" customWidth="1"/>
  </cols>
  <sheetData>
    <row r="1" spans="1:25" ht="15.75" x14ac:dyDescent="0.25">
      <c r="B1" s="2" t="s">
        <v>0</v>
      </c>
    </row>
    <row r="2" spans="1:25" x14ac:dyDescent="0.25">
      <c r="C2" s="58" t="s">
        <v>1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</row>
    <row r="3" spans="1:25" x14ac:dyDescent="0.25">
      <c r="C3" s="58" t="s">
        <v>2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</row>
    <row r="4" spans="1:25" x14ac:dyDescent="0.25">
      <c r="C4" s="58" t="s">
        <v>25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3"/>
      <c r="X4" s="3"/>
      <c r="Y4" s="3"/>
    </row>
    <row r="5" spans="1:25" ht="15" customHeight="1" x14ac:dyDescent="0.25">
      <c r="C5" s="59" t="s">
        <v>3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</row>
    <row r="6" spans="1:25" x14ac:dyDescent="0.25">
      <c r="C6" s="58" t="s">
        <v>4</v>
      </c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</row>
    <row r="7" spans="1:25" ht="16.5" thickBot="1" x14ac:dyDescent="0.3">
      <c r="C7" s="53" t="s">
        <v>5</v>
      </c>
      <c r="D7" s="53"/>
      <c r="E7" s="54" t="s">
        <v>26</v>
      </c>
      <c r="F7" s="55"/>
      <c r="G7" s="56"/>
      <c r="I7" s="4"/>
      <c r="K7" s="57" t="s">
        <v>6</v>
      </c>
      <c r="L7" s="57"/>
      <c r="M7" s="5">
        <v>4</v>
      </c>
      <c r="O7" s="4"/>
      <c r="Q7" s="57" t="s">
        <v>7</v>
      </c>
      <c r="R7" s="57"/>
      <c r="S7" s="60" t="s">
        <v>53</v>
      </c>
      <c r="T7" s="61"/>
    </row>
    <row r="8" spans="1:25" ht="24" customHeight="1" x14ac:dyDescent="0.25">
      <c r="A8" s="40" t="s">
        <v>8</v>
      </c>
      <c r="B8" s="43" t="s">
        <v>9</v>
      </c>
      <c r="C8" s="45" t="s">
        <v>10</v>
      </c>
      <c r="D8" s="46"/>
      <c r="E8" s="46"/>
      <c r="F8" s="46"/>
      <c r="G8" s="46"/>
      <c r="H8" s="46"/>
      <c r="I8" s="46"/>
      <c r="J8" s="47"/>
      <c r="K8" s="48" t="s">
        <v>11</v>
      </c>
      <c r="L8" s="49"/>
      <c r="M8" s="49"/>
      <c r="N8" s="49"/>
      <c r="O8" s="49"/>
      <c r="P8" s="49"/>
      <c r="Q8" s="50"/>
      <c r="R8" s="51" t="s">
        <v>12</v>
      </c>
      <c r="S8" s="52"/>
      <c r="T8" s="52"/>
      <c r="U8" s="52"/>
      <c r="V8" s="30" t="s">
        <v>13</v>
      </c>
      <c r="W8" s="21" t="s">
        <v>14</v>
      </c>
      <c r="X8" s="23" t="s">
        <v>15</v>
      </c>
      <c r="Y8" s="6"/>
    </row>
    <row r="9" spans="1:25" ht="14.25" customHeight="1" x14ac:dyDescent="0.25">
      <c r="A9" s="41"/>
      <c r="B9" s="44"/>
      <c r="C9" s="26" t="s">
        <v>48</v>
      </c>
      <c r="D9" s="26" t="s">
        <v>49</v>
      </c>
      <c r="E9" s="26"/>
      <c r="F9" s="26"/>
      <c r="G9" s="26"/>
      <c r="H9" s="26"/>
      <c r="I9" s="26"/>
      <c r="J9" s="28">
        <v>0.55000000000000004</v>
      </c>
      <c r="K9" s="34" t="s">
        <v>19</v>
      </c>
      <c r="L9" s="34" t="s">
        <v>21</v>
      </c>
      <c r="M9" s="34" t="s">
        <v>22</v>
      </c>
      <c r="N9" s="34" t="s">
        <v>20</v>
      </c>
      <c r="O9" s="34" t="s">
        <v>23</v>
      </c>
      <c r="P9" s="34" t="s">
        <v>24</v>
      </c>
      <c r="Q9" s="36">
        <v>0.3</v>
      </c>
      <c r="R9" s="38" t="s">
        <v>16</v>
      </c>
      <c r="S9" s="38" t="s">
        <v>17</v>
      </c>
      <c r="T9" s="38" t="s">
        <v>18</v>
      </c>
      <c r="U9" s="32">
        <v>0.15</v>
      </c>
      <c r="V9" s="31"/>
      <c r="W9" s="22"/>
      <c r="X9" s="24"/>
      <c r="Y9" s="6"/>
    </row>
    <row r="10" spans="1:25" ht="72" customHeight="1" x14ac:dyDescent="0.25">
      <c r="A10" s="42"/>
      <c r="B10" s="7" t="s">
        <v>26</v>
      </c>
      <c r="C10" s="27"/>
      <c r="D10" s="27"/>
      <c r="E10" s="27"/>
      <c r="F10" s="27"/>
      <c r="G10" s="27"/>
      <c r="H10" s="27"/>
      <c r="I10" s="27"/>
      <c r="J10" s="29"/>
      <c r="K10" s="35"/>
      <c r="L10" s="35"/>
      <c r="M10" s="35"/>
      <c r="N10" s="35"/>
      <c r="O10" s="35"/>
      <c r="P10" s="35"/>
      <c r="Q10" s="37"/>
      <c r="R10" s="39"/>
      <c r="S10" s="39"/>
      <c r="T10" s="39"/>
      <c r="U10" s="33"/>
      <c r="V10" s="31"/>
      <c r="W10" s="22"/>
      <c r="X10" s="25"/>
      <c r="Y10" s="4"/>
    </row>
    <row r="11" spans="1:25" x14ac:dyDescent="0.25">
      <c r="A11" s="8">
        <v>1</v>
      </c>
      <c r="B11" s="16" t="s">
        <v>27</v>
      </c>
      <c r="C11" s="16"/>
      <c r="D11" s="18"/>
      <c r="E11" s="5"/>
      <c r="F11" s="5"/>
      <c r="G11" s="5"/>
      <c r="H11" s="5"/>
      <c r="I11" s="5"/>
      <c r="J11" s="10" t="e">
        <f t="shared" ref="J11:J44" si="0">AVERAGE(C11:I11)*$J$9</f>
        <v>#DIV/0!</v>
      </c>
      <c r="K11" s="5">
        <v>3</v>
      </c>
      <c r="L11" s="5"/>
      <c r="M11" s="5"/>
      <c r="N11" s="5"/>
      <c r="O11" s="5"/>
      <c r="P11" s="5"/>
      <c r="Q11" s="11">
        <f t="shared" ref="Q11:Q44" si="1">AVERAGE(K11:P11)*$Q$9</f>
        <v>0.89999999999999991</v>
      </c>
      <c r="R11" s="5">
        <v>4</v>
      </c>
      <c r="S11" s="5"/>
      <c r="T11" s="5"/>
      <c r="U11" s="12">
        <f t="shared" ref="U11:U44" si="2">AVERAGE(R11:T11)*$U$9</f>
        <v>0.6</v>
      </c>
      <c r="V11" s="13" t="e">
        <f t="shared" ref="V11:V44" si="3">J11+Q11+U11</f>
        <v>#DIV/0!</v>
      </c>
      <c r="W11" s="14"/>
      <c r="X11" s="15" t="e">
        <f t="shared" ref="X11:X44" si="4">IF(W11&lt;V11,V11,IF(W11&gt;=3,W11))</f>
        <v>#DIV/0!</v>
      </c>
      <c r="Y11" s="4"/>
    </row>
    <row r="12" spans="1:25" x14ac:dyDescent="0.25">
      <c r="A12" s="8">
        <v>2</v>
      </c>
      <c r="B12" s="16" t="s">
        <v>28</v>
      </c>
      <c r="C12" s="16"/>
      <c r="D12" s="18"/>
      <c r="E12" s="5"/>
      <c r="F12" s="5"/>
      <c r="G12" s="5"/>
      <c r="H12" s="5"/>
      <c r="I12" s="5"/>
      <c r="J12" s="10" t="e">
        <f t="shared" si="0"/>
        <v>#DIV/0!</v>
      </c>
      <c r="K12" s="5">
        <v>3</v>
      </c>
      <c r="L12" s="5"/>
      <c r="M12" s="5"/>
      <c r="N12" s="5"/>
      <c r="O12" s="5"/>
      <c r="P12" s="5"/>
      <c r="Q12" s="11">
        <f t="shared" si="1"/>
        <v>0.89999999999999991</v>
      </c>
      <c r="R12" s="5">
        <v>4</v>
      </c>
      <c r="S12" s="5"/>
      <c r="T12" s="5"/>
      <c r="U12" s="12">
        <f t="shared" si="2"/>
        <v>0.6</v>
      </c>
      <c r="V12" s="13" t="e">
        <f t="shared" si="3"/>
        <v>#DIV/0!</v>
      </c>
      <c r="W12" s="14"/>
      <c r="X12" s="15" t="e">
        <f t="shared" si="4"/>
        <v>#DIV/0!</v>
      </c>
      <c r="Y12" s="4"/>
    </row>
    <row r="13" spans="1:25" x14ac:dyDescent="0.25">
      <c r="A13" s="8">
        <v>3</v>
      </c>
      <c r="B13" s="16" t="s">
        <v>29</v>
      </c>
      <c r="C13" s="16"/>
      <c r="D13" s="18"/>
      <c r="E13" s="5"/>
      <c r="F13" s="5"/>
      <c r="G13" s="5"/>
      <c r="H13" s="5"/>
      <c r="I13" s="5"/>
      <c r="J13" s="10" t="e">
        <f t="shared" si="0"/>
        <v>#DIV/0!</v>
      </c>
      <c r="K13" s="5">
        <v>3</v>
      </c>
      <c r="L13" s="5"/>
      <c r="M13" s="5"/>
      <c r="N13" s="5"/>
      <c r="O13" s="5"/>
      <c r="P13" s="5"/>
      <c r="Q13" s="11">
        <f t="shared" si="1"/>
        <v>0.89999999999999991</v>
      </c>
      <c r="R13" s="5">
        <v>4</v>
      </c>
      <c r="S13" s="5"/>
      <c r="T13" s="5"/>
      <c r="U13" s="12">
        <f t="shared" si="2"/>
        <v>0.6</v>
      </c>
      <c r="V13" s="13" t="e">
        <f t="shared" si="3"/>
        <v>#DIV/0!</v>
      </c>
      <c r="W13" s="14"/>
      <c r="X13" s="15" t="e">
        <f t="shared" si="4"/>
        <v>#DIV/0!</v>
      </c>
      <c r="Y13" s="4"/>
    </row>
    <row r="14" spans="1:25" x14ac:dyDescent="0.25">
      <c r="A14" s="8">
        <v>4</v>
      </c>
      <c r="B14" s="16" t="s">
        <v>30</v>
      </c>
      <c r="C14" s="17"/>
      <c r="D14" s="17"/>
      <c r="E14" s="5"/>
      <c r="F14" s="5"/>
      <c r="G14" s="5"/>
      <c r="H14" s="5"/>
      <c r="I14" s="5"/>
      <c r="J14" s="10" t="e">
        <f t="shared" si="0"/>
        <v>#DIV/0!</v>
      </c>
      <c r="K14" s="5">
        <v>3</v>
      </c>
      <c r="L14" s="5"/>
      <c r="M14" s="5"/>
      <c r="N14" s="5"/>
      <c r="O14" s="5"/>
      <c r="P14" s="5"/>
      <c r="Q14" s="11">
        <f t="shared" si="1"/>
        <v>0.89999999999999991</v>
      </c>
      <c r="R14" s="5">
        <v>3</v>
      </c>
      <c r="S14" s="5"/>
      <c r="T14" s="5"/>
      <c r="U14" s="12">
        <f t="shared" si="2"/>
        <v>0.44999999999999996</v>
      </c>
      <c r="V14" s="13" t="e">
        <f t="shared" si="3"/>
        <v>#DIV/0!</v>
      </c>
      <c r="W14" s="14"/>
      <c r="X14" s="15" t="e">
        <f t="shared" si="4"/>
        <v>#DIV/0!</v>
      </c>
      <c r="Y14" s="4"/>
    </row>
    <row r="15" spans="1:25" x14ac:dyDescent="0.25">
      <c r="A15" s="8">
        <v>5</v>
      </c>
      <c r="B15" s="16" t="s">
        <v>31</v>
      </c>
      <c r="C15" s="16"/>
      <c r="D15" s="18"/>
      <c r="E15" s="5"/>
      <c r="F15" s="5"/>
      <c r="G15" s="5"/>
      <c r="H15" s="5"/>
      <c r="I15" s="5"/>
      <c r="J15" s="10" t="e">
        <f t="shared" si="0"/>
        <v>#DIV/0!</v>
      </c>
      <c r="K15" s="5">
        <v>3</v>
      </c>
      <c r="L15" s="5"/>
      <c r="M15" s="5"/>
      <c r="N15" s="5"/>
      <c r="O15" s="5"/>
      <c r="P15" s="5"/>
      <c r="Q15" s="11">
        <f t="shared" si="1"/>
        <v>0.89999999999999991</v>
      </c>
      <c r="R15" s="5">
        <v>4</v>
      </c>
      <c r="S15" s="5"/>
      <c r="T15" s="5"/>
      <c r="U15" s="12">
        <f t="shared" si="2"/>
        <v>0.6</v>
      </c>
      <c r="V15" s="13" t="e">
        <f t="shared" si="3"/>
        <v>#DIV/0!</v>
      </c>
      <c r="W15" s="14"/>
      <c r="X15" s="15" t="e">
        <f t="shared" si="4"/>
        <v>#DIV/0!</v>
      </c>
      <c r="Y15" s="4"/>
    </row>
    <row r="16" spans="1:25" x14ac:dyDescent="0.25">
      <c r="A16" s="8">
        <v>6</v>
      </c>
      <c r="B16" s="16" t="s">
        <v>32</v>
      </c>
      <c r="C16" s="16"/>
      <c r="D16" s="18"/>
      <c r="E16" s="5"/>
      <c r="F16" s="5"/>
      <c r="G16" s="5"/>
      <c r="H16" s="5"/>
      <c r="I16" s="5"/>
      <c r="J16" s="10" t="e">
        <f t="shared" si="0"/>
        <v>#DIV/0!</v>
      </c>
      <c r="K16" s="5">
        <v>3</v>
      </c>
      <c r="L16" s="5"/>
      <c r="M16" s="5"/>
      <c r="N16" s="5"/>
      <c r="O16" s="5"/>
      <c r="P16" s="5"/>
      <c r="Q16" s="11">
        <f t="shared" si="1"/>
        <v>0.89999999999999991</v>
      </c>
      <c r="R16" s="5">
        <v>3</v>
      </c>
      <c r="S16" s="5"/>
      <c r="T16" s="5"/>
      <c r="U16" s="12">
        <f t="shared" si="2"/>
        <v>0.44999999999999996</v>
      </c>
      <c r="V16" s="13" t="e">
        <f t="shared" si="3"/>
        <v>#DIV/0!</v>
      </c>
      <c r="W16" s="14"/>
      <c r="X16" s="15" t="e">
        <f t="shared" si="4"/>
        <v>#DIV/0!</v>
      </c>
      <c r="Y16" s="4"/>
    </row>
    <row r="17" spans="1:25" x14ac:dyDescent="0.25">
      <c r="A17" s="8">
        <v>8</v>
      </c>
      <c r="B17" s="16" t="s">
        <v>33</v>
      </c>
      <c r="C17" s="16"/>
      <c r="D17" s="18"/>
      <c r="E17" s="5"/>
      <c r="F17" s="5"/>
      <c r="G17" s="5"/>
      <c r="H17" s="5"/>
      <c r="I17" s="5"/>
      <c r="J17" s="10" t="e">
        <f t="shared" si="0"/>
        <v>#DIV/0!</v>
      </c>
      <c r="K17" s="5">
        <v>3</v>
      </c>
      <c r="L17" s="5"/>
      <c r="M17" s="5"/>
      <c r="N17" s="5"/>
      <c r="O17" s="5"/>
      <c r="P17" s="5"/>
      <c r="Q17" s="11">
        <f t="shared" si="1"/>
        <v>0.89999999999999991</v>
      </c>
      <c r="R17" s="5">
        <v>3</v>
      </c>
      <c r="S17" s="5"/>
      <c r="T17" s="5"/>
      <c r="U17" s="12">
        <f t="shared" si="2"/>
        <v>0.44999999999999996</v>
      </c>
      <c r="V17" s="13" t="e">
        <f t="shared" si="3"/>
        <v>#DIV/0!</v>
      </c>
      <c r="W17" s="14"/>
      <c r="X17" s="15" t="e">
        <f t="shared" si="4"/>
        <v>#DIV/0!</v>
      </c>
      <c r="Y17" s="4"/>
    </row>
    <row r="18" spans="1:25" x14ac:dyDescent="0.25">
      <c r="A18" s="8">
        <v>9</v>
      </c>
      <c r="B18" s="16" t="s">
        <v>34</v>
      </c>
      <c r="C18" s="16"/>
      <c r="D18" s="16"/>
      <c r="E18" s="5"/>
      <c r="F18" s="5"/>
      <c r="G18" s="5"/>
      <c r="H18" s="5"/>
      <c r="I18" s="5"/>
      <c r="J18" s="10" t="e">
        <f t="shared" si="0"/>
        <v>#DIV/0!</v>
      </c>
      <c r="K18" s="5">
        <v>3</v>
      </c>
      <c r="L18" s="5"/>
      <c r="M18" s="5"/>
      <c r="N18" s="5"/>
      <c r="O18" s="5"/>
      <c r="P18" s="5"/>
      <c r="Q18" s="11">
        <f t="shared" si="1"/>
        <v>0.89999999999999991</v>
      </c>
      <c r="R18" s="5">
        <v>4</v>
      </c>
      <c r="S18" s="5"/>
      <c r="T18" s="5"/>
      <c r="U18" s="12">
        <f t="shared" si="2"/>
        <v>0.6</v>
      </c>
      <c r="V18" s="13" t="e">
        <f t="shared" si="3"/>
        <v>#DIV/0!</v>
      </c>
      <c r="W18" s="14"/>
      <c r="X18" s="15" t="e">
        <f t="shared" si="4"/>
        <v>#DIV/0!</v>
      </c>
      <c r="Y18" s="4"/>
    </row>
    <row r="19" spans="1:25" x14ac:dyDescent="0.25">
      <c r="A19" s="8">
        <v>10</v>
      </c>
      <c r="B19" s="16" t="s">
        <v>35</v>
      </c>
      <c r="C19" s="5"/>
      <c r="D19" s="5"/>
      <c r="E19" s="5"/>
      <c r="F19" s="5"/>
      <c r="G19" s="5"/>
      <c r="H19" s="5"/>
      <c r="I19" s="5"/>
      <c r="J19" s="10" t="e">
        <f t="shared" si="0"/>
        <v>#DIV/0!</v>
      </c>
      <c r="K19" s="5">
        <v>3</v>
      </c>
      <c r="L19" s="5"/>
      <c r="M19" s="5"/>
      <c r="N19" s="5"/>
      <c r="O19" s="5"/>
      <c r="P19" s="5"/>
      <c r="Q19" s="11">
        <f t="shared" si="1"/>
        <v>0.89999999999999991</v>
      </c>
      <c r="R19" s="5">
        <v>4</v>
      </c>
      <c r="S19" s="5"/>
      <c r="T19" s="5"/>
      <c r="U19" s="12">
        <f t="shared" si="2"/>
        <v>0.6</v>
      </c>
      <c r="V19" s="13" t="e">
        <f t="shared" si="3"/>
        <v>#DIV/0!</v>
      </c>
      <c r="W19" s="14"/>
      <c r="X19" s="15" t="e">
        <f t="shared" si="4"/>
        <v>#DIV/0!</v>
      </c>
      <c r="Y19" s="4"/>
    </row>
    <row r="20" spans="1:25" x14ac:dyDescent="0.25">
      <c r="A20" s="8">
        <v>11</v>
      </c>
      <c r="B20" s="16" t="s">
        <v>36</v>
      </c>
      <c r="C20" s="5"/>
      <c r="D20" s="5"/>
      <c r="E20" s="5"/>
      <c r="F20" s="5"/>
      <c r="G20" s="5"/>
      <c r="H20" s="5"/>
      <c r="I20" s="5"/>
      <c r="J20" s="10" t="e">
        <f t="shared" si="0"/>
        <v>#DIV/0!</v>
      </c>
      <c r="K20" s="5">
        <v>3</v>
      </c>
      <c r="L20" s="5"/>
      <c r="M20" s="5"/>
      <c r="N20" s="5"/>
      <c r="O20" s="5"/>
      <c r="P20" s="5"/>
      <c r="Q20" s="11">
        <f t="shared" si="1"/>
        <v>0.89999999999999991</v>
      </c>
      <c r="R20" s="5">
        <v>4</v>
      </c>
      <c r="S20" s="5"/>
      <c r="T20" s="5"/>
      <c r="U20" s="12">
        <f t="shared" si="2"/>
        <v>0.6</v>
      </c>
      <c r="V20" s="13" t="e">
        <f t="shared" si="3"/>
        <v>#DIV/0!</v>
      </c>
      <c r="W20" s="14"/>
      <c r="X20" s="15" t="e">
        <f t="shared" si="4"/>
        <v>#DIV/0!</v>
      </c>
      <c r="Y20" s="4"/>
    </row>
    <row r="21" spans="1:25" x14ac:dyDescent="0.25">
      <c r="A21" s="8">
        <v>12</v>
      </c>
      <c r="B21" s="20" t="s">
        <v>38</v>
      </c>
      <c r="C21" s="5"/>
      <c r="D21" s="5"/>
      <c r="E21" s="5"/>
      <c r="F21" s="5"/>
      <c r="G21" s="5"/>
      <c r="H21" s="5"/>
      <c r="I21" s="5"/>
      <c r="J21" s="10" t="e">
        <f t="shared" si="0"/>
        <v>#DIV/0!</v>
      </c>
      <c r="K21" s="5">
        <v>0</v>
      </c>
      <c r="L21" s="5"/>
      <c r="M21" s="5"/>
      <c r="N21" s="5"/>
      <c r="O21" s="5"/>
      <c r="P21" s="5"/>
      <c r="Q21" s="11">
        <f t="shared" si="1"/>
        <v>0</v>
      </c>
      <c r="R21" s="5">
        <v>0</v>
      </c>
      <c r="S21" s="5"/>
      <c r="T21" s="5"/>
      <c r="U21" s="12">
        <f t="shared" si="2"/>
        <v>0</v>
      </c>
      <c r="V21" s="13" t="e">
        <f t="shared" si="3"/>
        <v>#DIV/0!</v>
      </c>
      <c r="W21" s="14"/>
      <c r="X21" s="15" t="e">
        <f t="shared" si="4"/>
        <v>#DIV/0!</v>
      </c>
      <c r="Y21" s="4"/>
    </row>
    <row r="22" spans="1:25" x14ac:dyDescent="0.25">
      <c r="A22" s="8">
        <v>13</v>
      </c>
      <c r="B22" s="16" t="s">
        <v>39</v>
      </c>
      <c r="C22" s="5"/>
      <c r="E22" s="5"/>
      <c r="F22" s="5"/>
      <c r="G22" s="5"/>
      <c r="H22" s="5"/>
      <c r="I22" s="5"/>
      <c r="J22" s="10" t="e">
        <f>AVERAGE(C22:I22)*$J$9</f>
        <v>#DIV/0!</v>
      </c>
      <c r="K22" s="5">
        <v>5</v>
      </c>
      <c r="L22" s="5"/>
      <c r="M22" s="5"/>
      <c r="N22" s="5"/>
      <c r="O22" s="5"/>
      <c r="P22" s="5"/>
      <c r="Q22" s="11">
        <f t="shared" si="1"/>
        <v>1.5</v>
      </c>
      <c r="R22" s="5">
        <v>4</v>
      </c>
      <c r="S22" s="5"/>
      <c r="T22" s="5"/>
      <c r="U22" s="12">
        <f t="shared" si="2"/>
        <v>0.6</v>
      </c>
      <c r="V22" s="13" t="e">
        <f t="shared" si="3"/>
        <v>#DIV/0!</v>
      </c>
      <c r="W22" s="14"/>
      <c r="X22" s="15" t="e">
        <f t="shared" si="4"/>
        <v>#DIV/0!</v>
      </c>
      <c r="Y22" s="4"/>
    </row>
    <row r="23" spans="1:25" x14ac:dyDescent="0.25">
      <c r="A23" s="8">
        <v>14</v>
      </c>
      <c r="B23" s="16" t="s">
        <v>40</v>
      </c>
      <c r="C23" s="5"/>
      <c r="D23" s="5"/>
      <c r="E23" s="5"/>
      <c r="F23" s="5"/>
      <c r="G23" s="5"/>
      <c r="H23" s="5"/>
      <c r="I23" s="5"/>
      <c r="J23" s="10" t="e">
        <f t="shared" si="0"/>
        <v>#DIV/0!</v>
      </c>
      <c r="K23" s="5">
        <v>4.5</v>
      </c>
      <c r="L23" s="5"/>
      <c r="M23" s="5"/>
      <c r="N23" s="5"/>
      <c r="O23" s="5"/>
      <c r="P23" s="5"/>
      <c r="Q23" s="11">
        <f t="shared" si="1"/>
        <v>1.3499999999999999</v>
      </c>
      <c r="R23" s="5">
        <v>4</v>
      </c>
      <c r="S23" s="5"/>
      <c r="T23" s="5"/>
      <c r="U23" s="12">
        <f t="shared" si="2"/>
        <v>0.6</v>
      </c>
      <c r="V23" s="13" t="e">
        <f t="shared" si="3"/>
        <v>#DIV/0!</v>
      </c>
      <c r="W23" s="14"/>
      <c r="X23" s="15" t="e">
        <f t="shared" si="4"/>
        <v>#DIV/0!</v>
      </c>
      <c r="Y23" s="4"/>
    </row>
    <row r="24" spans="1:25" x14ac:dyDescent="0.25">
      <c r="A24" s="8">
        <v>15</v>
      </c>
      <c r="B24" s="16" t="s">
        <v>41</v>
      </c>
      <c r="C24" s="5"/>
      <c r="D24" s="5"/>
      <c r="E24" s="5"/>
      <c r="F24" s="5"/>
      <c r="G24" s="5"/>
      <c r="H24" s="5"/>
      <c r="I24" s="5"/>
      <c r="J24" s="10" t="e">
        <f t="shared" si="0"/>
        <v>#DIV/0!</v>
      </c>
      <c r="K24" s="5">
        <v>3</v>
      </c>
      <c r="L24" s="5"/>
      <c r="M24" s="5"/>
      <c r="N24" s="5"/>
      <c r="O24" s="5"/>
      <c r="P24" s="5"/>
      <c r="Q24" s="11">
        <f t="shared" si="1"/>
        <v>0.89999999999999991</v>
      </c>
      <c r="R24" s="5">
        <v>3</v>
      </c>
      <c r="S24" s="5"/>
      <c r="T24" s="5"/>
      <c r="U24" s="12">
        <f t="shared" si="2"/>
        <v>0.44999999999999996</v>
      </c>
      <c r="V24" s="13" t="e">
        <f t="shared" si="3"/>
        <v>#DIV/0!</v>
      </c>
      <c r="W24" s="14"/>
      <c r="X24" s="15" t="e">
        <f t="shared" si="4"/>
        <v>#DIV/0!</v>
      </c>
      <c r="Y24" s="4"/>
    </row>
    <row r="25" spans="1:25" x14ac:dyDescent="0.25">
      <c r="A25" s="8">
        <v>16</v>
      </c>
      <c r="B25" s="16" t="s">
        <v>42</v>
      </c>
      <c r="C25" s="5"/>
      <c r="D25" s="5"/>
      <c r="E25" s="5"/>
      <c r="F25" s="5"/>
      <c r="G25" s="5"/>
      <c r="H25" s="5"/>
      <c r="I25" s="5"/>
      <c r="J25" s="10" t="e">
        <f t="shared" si="0"/>
        <v>#DIV/0!</v>
      </c>
      <c r="K25" s="5">
        <v>3</v>
      </c>
      <c r="L25" s="5"/>
      <c r="M25" s="5"/>
      <c r="N25" s="5"/>
      <c r="O25" s="5"/>
      <c r="P25" s="5"/>
      <c r="Q25" s="11">
        <f t="shared" si="1"/>
        <v>0.89999999999999991</v>
      </c>
      <c r="R25" s="5">
        <v>3</v>
      </c>
      <c r="S25" s="5"/>
      <c r="T25" s="5"/>
      <c r="U25" s="12">
        <f t="shared" si="2"/>
        <v>0.44999999999999996</v>
      </c>
      <c r="V25" s="13" t="e">
        <f t="shared" si="3"/>
        <v>#DIV/0!</v>
      </c>
      <c r="W25" s="14"/>
      <c r="X25" s="15" t="e">
        <f t="shared" si="4"/>
        <v>#DIV/0!</v>
      </c>
      <c r="Y25" s="4"/>
    </row>
    <row r="26" spans="1:25" x14ac:dyDescent="0.25">
      <c r="A26" s="8">
        <v>17</v>
      </c>
      <c r="B26" s="16" t="s">
        <v>43</v>
      </c>
      <c r="C26" s="5"/>
      <c r="D26" s="5"/>
      <c r="E26" s="5"/>
      <c r="F26" s="5"/>
      <c r="G26" s="5"/>
      <c r="H26" s="5"/>
      <c r="I26" s="5"/>
      <c r="J26" s="10" t="e">
        <f t="shared" si="0"/>
        <v>#DIV/0!</v>
      </c>
      <c r="K26" s="5">
        <v>3</v>
      </c>
      <c r="L26" s="5"/>
      <c r="M26" s="5"/>
      <c r="N26" s="5"/>
      <c r="O26" s="5"/>
      <c r="P26" s="5"/>
      <c r="Q26" s="11">
        <f t="shared" si="1"/>
        <v>0.89999999999999991</v>
      </c>
      <c r="R26" s="5">
        <v>3</v>
      </c>
      <c r="S26" s="5"/>
      <c r="T26" s="5"/>
      <c r="U26" s="12">
        <f t="shared" si="2"/>
        <v>0.44999999999999996</v>
      </c>
      <c r="V26" s="13" t="e">
        <f t="shared" si="3"/>
        <v>#DIV/0!</v>
      </c>
      <c r="W26" s="14"/>
      <c r="X26" s="15" t="e">
        <f t="shared" si="4"/>
        <v>#DIV/0!</v>
      </c>
      <c r="Y26" s="4"/>
    </row>
    <row r="27" spans="1:25" x14ac:dyDescent="0.25">
      <c r="A27" s="8">
        <v>18</v>
      </c>
      <c r="B27" s="16" t="s">
        <v>44</v>
      </c>
      <c r="C27" s="5"/>
      <c r="D27" s="5"/>
      <c r="E27" s="5"/>
      <c r="F27" s="5"/>
      <c r="G27" s="5"/>
      <c r="H27" s="5"/>
      <c r="I27" s="5"/>
      <c r="J27" s="10" t="e">
        <f t="shared" si="0"/>
        <v>#DIV/0!</v>
      </c>
      <c r="K27" s="5">
        <v>3</v>
      </c>
      <c r="L27" s="5"/>
      <c r="M27" s="5"/>
      <c r="N27" s="5"/>
      <c r="O27" s="5"/>
      <c r="P27" s="5"/>
      <c r="Q27" s="11">
        <f t="shared" si="1"/>
        <v>0.89999999999999991</v>
      </c>
      <c r="R27" s="5">
        <v>3</v>
      </c>
      <c r="S27" s="5"/>
      <c r="T27" s="5"/>
      <c r="U27" s="12">
        <f t="shared" si="2"/>
        <v>0.44999999999999996</v>
      </c>
      <c r="V27" s="13" t="e">
        <f t="shared" si="3"/>
        <v>#DIV/0!</v>
      </c>
      <c r="W27" s="14"/>
      <c r="X27" s="15" t="e">
        <f t="shared" si="4"/>
        <v>#DIV/0!</v>
      </c>
      <c r="Y27" s="4"/>
    </row>
    <row r="28" spans="1:25" x14ac:dyDescent="0.25">
      <c r="A28" s="8">
        <v>19</v>
      </c>
      <c r="B28" s="16" t="s">
        <v>45</v>
      </c>
      <c r="C28" s="5"/>
      <c r="E28" s="5"/>
      <c r="F28" s="5"/>
      <c r="G28" s="5"/>
      <c r="H28" s="5"/>
      <c r="I28" s="5"/>
      <c r="J28" s="10" t="e">
        <f>AVERAGE(C28:I28)*$J$9</f>
        <v>#DIV/0!</v>
      </c>
      <c r="K28" s="5">
        <v>5</v>
      </c>
      <c r="L28" s="5"/>
      <c r="M28" s="5"/>
      <c r="N28" s="5"/>
      <c r="O28" s="5"/>
      <c r="P28" s="5"/>
      <c r="Q28" s="11">
        <f t="shared" si="1"/>
        <v>1.5</v>
      </c>
      <c r="R28" s="5">
        <v>4</v>
      </c>
      <c r="S28" s="5"/>
      <c r="T28" s="5"/>
      <c r="U28" s="12">
        <f t="shared" si="2"/>
        <v>0.6</v>
      </c>
      <c r="V28" s="13" t="e">
        <f t="shared" si="3"/>
        <v>#DIV/0!</v>
      </c>
      <c r="W28" s="14"/>
      <c r="X28" s="15" t="e">
        <f t="shared" si="4"/>
        <v>#DIV/0!</v>
      </c>
      <c r="Y28" s="4"/>
    </row>
    <row r="29" spans="1:25" x14ac:dyDescent="0.25">
      <c r="A29" s="8">
        <v>20</v>
      </c>
      <c r="B29" s="16" t="s">
        <v>46</v>
      </c>
      <c r="C29" s="5"/>
      <c r="D29" s="5"/>
      <c r="E29" s="5"/>
      <c r="F29" s="5"/>
      <c r="G29" s="5"/>
      <c r="H29" s="5"/>
      <c r="I29" s="5"/>
      <c r="J29" s="10" t="e">
        <f t="shared" si="0"/>
        <v>#DIV/0!</v>
      </c>
      <c r="K29" s="5">
        <v>3</v>
      </c>
      <c r="L29" s="5"/>
      <c r="M29" s="5"/>
      <c r="N29" s="5"/>
      <c r="O29" s="5"/>
      <c r="P29" s="5"/>
      <c r="Q29" s="11">
        <f t="shared" si="1"/>
        <v>0.89999999999999991</v>
      </c>
      <c r="R29" s="5">
        <v>3</v>
      </c>
      <c r="S29" s="5"/>
      <c r="T29" s="5"/>
      <c r="U29" s="12">
        <f t="shared" si="2"/>
        <v>0.44999999999999996</v>
      </c>
      <c r="V29" s="13" t="e">
        <f t="shared" si="3"/>
        <v>#DIV/0!</v>
      </c>
      <c r="W29" s="14"/>
      <c r="X29" s="15" t="e">
        <f t="shared" si="4"/>
        <v>#DIV/0!</v>
      </c>
      <c r="Y29" s="4"/>
    </row>
    <row r="30" spans="1:25" x14ac:dyDescent="0.25">
      <c r="A30" s="8">
        <v>21</v>
      </c>
      <c r="B30" s="9"/>
      <c r="C30" s="5"/>
      <c r="D30" s="5"/>
      <c r="E30" s="5"/>
      <c r="F30" s="5"/>
      <c r="G30" s="5"/>
      <c r="H30" s="5"/>
      <c r="I30" s="5"/>
      <c r="J30" s="10" t="e">
        <f t="shared" si="0"/>
        <v>#DIV/0!</v>
      </c>
      <c r="K30" s="5"/>
      <c r="L30" s="5"/>
      <c r="M30" s="5"/>
      <c r="N30" s="5"/>
      <c r="O30" s="5"/>
      <c r="P30" s="5"/>
      <c r="Q30" s="11" t="e">
        <f t="shared" si="1"/>
        <v>#DIV/0!</v>
      </c>
      <c r="R30" s="5"/>
      <c r="S30" s="5"/>
      <c r="T30" s="5"/>
      <c r="U30" s="12" t="e">
        <f t="shared" si="2"/>
        <v>#DIV/0!</v>
      </c>
      <c r="V30" s="13" t="e">
        <f t="shared" si="3"/>
        <v>#DIV/0!</v>
      </c>
      <c r="W30" s="14"/>
      <c r="X30" s="15" t="e">
        <f t="shared" si="4"/>
        <v>#DIV/0!</v>
      </c>
      <c r="Y30" s="4"/>
    </row>
    <row r="31" spans="1:25" x14ac:dyDescent="0.25">
      <c r="A31" s="8">
        <v>22</v>
      </c>
      <c r="B31" s="9"/>
      <c r="C31" s="5"/>
      <c r="D31" s="5"/>
      <c r="E31" s="5"/>
      <c r="F31" s="5"/>
      <c r="G31" s="5"/>
      <c r="H31" s="5"/>
      <c r="I31" s="5"/>
      <c r="J31" s="10" t="e">
        <f t="shared" si="0"/>
        <v>#DIV/0!</v>
      </c>
      <c r="K31" s="5"/>
      <c r="L31" s="5"/>
      <c r="M31" s="5"/>
      <c r="N31" s="5"/>
      <c r="O31" s="5"/>
      <c r="P31" s="5"/>
      <c r="Q31" s="11" t="e">
        <f t="shared" si="1"/>
        <v>#DIV/0!</v>
      </c>
      <c r="R31" s="5"/>
      <c r="S31" s="5"/>
      <c r="T31" s="5"/>
      <c r="U31" s="12" t="e">
        <f t="shared" si="2"/>
        <v>#DIV/0!</v>
      </c>
      <c r="V31" s="13" t="e">
        <f t="shared" si="3"/>
        <v>#DIV/0!</v>
      </c>
      <c r="W31" s="14"/>
      <c r="X31" s="15" t="e">
        <f t="shared" si="4"/>
        <v>#DIV/0!</v>
      </c>
      <c r="Y31" s="4"/>
    </row>
    <row r="32" spans="1:25" x14ac:dyDescent="0.25">
      <c r="A32" s="8">
        <v>23</v>
      </c>
      <c r="B32" s="9"/>
      <c r="C32" s="5"/>
      <c r="D32" s="5"/>
      <c r="E32" s="5"/>
      <c r="F32" s="5"/>
      <c r="G32" s="5"/>
      <c r="H32" s="5"/>
      <c r="I32" s="5"/>
      <c r="J32" s="10" t="e">
        <f t="shared" si="0"/>
        <v>#DIV/0!</v>
      </c>
      <c r="K32" s="5"/>
      <c r="L32" s="5"/>
      <c r="M32" s="5"/>
      <c r="N32" s="5"/>
      <c r="O32" s="5"/>
      <c r="P32" s="5"/>
      <c r="Q32" s="11" t="e">
        <f t="shared" si="1"/>
        <v>#DIV/0!</v>
      </c>
      <c r="R32" s="5"/>
      <c r="S32" s="5"/>
      <c r="T32" s="5"/>
      <c r="U32" s="12" t="e">
        <f t="shared" si="2"/>
        <v>#DIV/0!</v>
      </c>
      <c r="V32" s="13" t="e">
        <f t="shared" si="3"/>
        <v>#DIV/0!</v>
      </c>
      <c r="W32" s="14"/>
      <c r="X32" s="15" t="e">
        <f t="shared" si="4"/>
        <v>#DIV/0!</v>
      </c>
      <c r="Y32" s="4"/>
    </row>
    <row r="33" spans="1:25" x14ac:dyDescent="0.25">
      <c r="A33" s="8">
        <v>24</v>
      </c>
      <c r="B33" s="9"/>
      <c r="C33" s="5"/>
      <c r="D33" s="5"/>
      <c r="E33" s="5"/>
      <c r="F33" s="5"/>
      <c r="G33" s="5"/>
      <c r="H33" s="5"/>
      <c r="I33" s="5"/>
      <c r="J33" s="10" t="e">
        <f t="shared" si="0"/>
        <v>#DIV/0!</v>
      </c>
      <c r="K33" s="5"/>
      <c r="L33" s="5"/>
      <c r="M33" s="5"/>
      <c r="N33" s="5"/>
      <c r="O33" s="5"/>
      <c r="P33" s="5"/>
      <c r="Q33" s="11" t="e">
        <f t="shared" si="1"/>
        <v>#DIV/0!</v>
      </c>
      <c r="R33" s="5"/>
      <c r="S33" s="5"/>
      <c r="T33" s="5"/>
      <c r="U33" s="12" t="e">
        <f t="shared" si="2"/>
        <v>#DIV/0!</v>
      </c>
      <c r="V33" s="13" t="e">
        <f t="shared" si="3"/>
        <v>#DIV/0!</v>
      </c>
      <c r="W33" s="14"/>
      <c r="X33" s="15" t="e">
        <f t="shared" si="4"/>
        <v>#DIV/0!</v>
      </c>
      <c r="Y33" s="4"/>
    </row>
    <row r="34" spans="1:25" x14ac:dyDescent="0.25">
      <c r="A34" s="8">
        <v>25</v>
      </c>
      <c r="B34" s="9"/>
      <c r="C34" s="5"/>
      <c r="D34" s="5"/>
      <c r="E34" s="5"/>
      <c r="F34" s="5"/>
      <c r="G34" s="5"/>
      <c r="H34" s="5"/>
      <c r="I34" s="5"/>
      <c r="J34" s="10" t="e">
        <f t="shared" si="0"/>
        <v>#DIV/0!</v>
      </c>
      <c r="K34" s="5"/>
      <c r="L34" s="5"/>
      <c r="M34" s="5"/>
      <c r="N34" s="5"/>
      <c r="O34" s="5"/>
      <c r="P34" s="5"/>
      <c r="Q34" s="11" t="e">
        <f t="shared" si="1"/>
        <v>#DIV/0!</v>
      </c>
      <c r="R34" s="5"/>
      <c r="S34" s="5"/>
      <c r="T34" s="5"/>
      <c r="U34" s="12" t="e">
        <f t="shared" si="2"/>
        <v>#DIV/0!</v>
      </c>
      <c r="V34" s="13" t="e">
        <f t="shared" si="3"/>
        <v>#DIV/0!</v>
      </c>
      <c r="W34" s="14"/>
      <c r="X34" s="15" t="e">
        <f t="shared" si="4"/>
        <v>#DIV/0!</v>
      </c>
      <c r="Y34" s="4"/>
    </row>
    <row r="35" spans="1:25" x14ac:dyDescent="0.25">
      <c r="A35" s="8">
        <v>26</v>
      </c>
      <c r="B35" s="9"/>
      <c r="C35" s="5"/>
      <c r="D35" s="5"/>
      <c r="E35" s="5"/>
      <c r="F35" s="5"/>
      <c r="G35" s="5"/>
      <c r="H35" s="5"/>
      <c r="I35" s="5"/>
      <c r="J35" s="10" t="e">
        <f t="shared" si="0"/>
        <v>#DIV/0!</v>
      </c>
      <c r="K35" s="5"/>
      <c r="L35" s="5"/>
      <c r="M35" s="5"/>
      <c r="N35" s="5"/>
      <c r="O35" s="5"/>
      <c r="P35" s="5"/>
      <c r="Q35" s="11" t="e">
        <f t="shared" si="1"/>
        <v>#DIV/0!</v>
      </c>
      <c r="R35" s="5"/>
      <c r="S35" s="5"/>
      <c r="T35" s="5"/>
      <c r="U35" s="12" t="e">
        <f t="shared" si="2"/>
        <v>#DIV/0!</v>
      </c>
      <c r="V35" s="13" t="e">
        <f t="shared" si="3"/>
        <v>#DIV/0!</v>
      </c>
      <c r="W35" s="14"/>
      <c r="X35" s="15" t="e">
        <f t="shared" si="4"/>
        <v>#DIV/0!</v>
      </c>
      <c r="Y35" s="4"/>
    </row>
    <row r="36" spans="1:25" x14ac:dyDescent="0.25">
      <c r="A36" s="8">
        <v>27</v>
      </c>
      <c r="B36" s="9"/>
      <c r="C36" s="5"/>
      <c r="D36" s="5"/>
      <c r="E36" s="5"/>
      <c r="F36" s="5"/>
      <c r="G36" s="5"/>
      <c r="H36" s="5"/>
      <c r="I36" s="5"/>
      <c r="J36" s="10" t="e">
        <f t="shared" si="0"/>
        <v>#DIV/0!</v>
      </c>
      <c r="K36" s="5"/>
      <c r="L36" s="5"/>
      <c r="M36" s="5"/>
      <c r="N36" s="5"/>
      <c r="O36" s="5"/>
      <c r="P36" s="5"/>
      <c r="Q36" s="11" t="e">
        <f t="shared" si="1"/>
        <v>#DIV/0!</v>
      </c>
      <c r="R36" s="5"/>
      <c r="S36" s="5"/>
      <c r="T36" s="5"/>
      <c r="U36" s="12" t="e">
        <f t="shared" si="2"/>
        <v>#DIV/0!</v>
      </c>
      <c r="V36" s="13" t="e">
        <f t="shared" si="3"/>
        <v>#DIV/0!</v>
      </c>
      <c r="W36" s="14"/>
      <c r="X36" s="15" t="e">
        <f t="shared" si="4"/>
        <v>#DIV/0!</v>
      </c>
      <c r="Y36" s="4"/>
    </row>
    <row r="37" spans="1:25" x14ac:dyDescent="0.25">
      <c r="A37" s="8">
        <v>28</v>
      </c>
      <c r="B37" s="9"/>
      <c r="C37" s="5"/>
      <c r="D37" s="5"/>
      <c r="E37" s="5"/>
      <c r="F37" s="5"/>
      <c r="G37" s="5"/>
      <c r="H37" s="5"/>
      <c r="I37" s="5"/>
      <c r="J37" s="10" t="e">
        <f t="shared" si="0"/>
        <v>#DIV/0!</v>
      </c>
      <c r="K37" s="5"/>
      <c r="L37" s="5"/>
      <c r="M37" s="5"/>
      <c r="N37" s="5"/>
      <c r="O37" s="5"/>
      <c r="P37" s="5"/>
      <c r="Q37" s="11" t="e">
        <f t="shared" si="1"/>
        <v>#DIV/0!</v>
      </c>
      <c r="R37" s="5"/>
      <c r="S37" s="5"/>
      <c r="T37" s="5"/>
      <c r="U37" s="12" t="e">
        <f t="shared" si="2"/>
        <v>#DIV/0!</v>
      </c>
      <c r="V37" s="13" t="e">
        <f t="shared" si="3"/>
        <v>#DIV/0!</v>
      </c>
      <c r="W37" s="14"/>
      <c r="X37" s="15" t="e">
        <f t="shared" si="4"/>
        <v>#DIV/0!</v>
      </c>
      <c r="Y37" s="4"/>
    </row>
    <row r="38" spans="1:25" x14ac:dyDescent="0.25">
      <c r="A38" s="8">
        <v>29</v>
      </c>
      <c r="B38" s="9"/>
      <c r="C38" s="5"/>
      <c r="D38" s="5"/>
      <c r="E38" s="5"/>
      <c r="F38" s="5"/>
      <c r="G38" s="5"/>
      <c r="H38" s="5"/>
      <c r="I38" s="5"/>
      <c r="J38" s="10" t="e">
        <f t="shared" si="0"/>
        <v>#DIV/0!</v>
      </c>
      <c r="K38" s="5"/>
      <c r="L38" s="5"/>
      <c r="M38" s="5"/>
      <c r="N38" s="5"/>
      <c r="O38" s="5"/>
      <c r="P38" s="5"/>
      <c r="Q38" s="11" t="e">
        <f t="shared" si="1"/>
        <v>#DIV/0!</v>
      </c>
      <c r="R38" s="5"/>
      <c r="S38" s="5"/>
      <c r="T38" s="5"/>
      <c r="U38" s="12" t="e">
        <f t="shared" si="2"/>
        <v>#DIV/0!</v>
      </c>
      <c r="V38" s="13" t="e">
        <f t="shared" si="3"/>
        <v>#DIV/0!</v>
      </c>
      <c r="W38" s="14"/>
      <c r="X38" s="15" t="e">
        <f t="shared" si="4"/>
        <v>#DIV/0!</v>
      </c>
      <c r="Y38" s="4"/>
    </row>
    <row r="39" spans="1:25" x14ac:dyDescent="0.25">
      <c r="A39" s="8">
        <v>30</v>
      </c>
      <c r="B39" s="9"/>
      <c r="C39" s="5"/>
      <c r="D39" s="5"/>
      <c r="E39" s="5"/>
      <c r="F39" s="5"/>
      <c r="G39" s="5"/>
      <c r="H39" s="5"/>
      <c r="I39" s="5"/>
      <c r="J39" s="10" t="e">
        <f t="shared" si="0"/>
        <v>#DIV/0!</v>
      </c>
      <c r="K39" s="5"/>
      <c r="L39" s="5"/>
      <c r="M39" s="5"/>
      <c r="N39" s="5"/>
      <c r="O39" s="5"/>
      <c r="P39" s="5"/>
      <c r="Q39" s="11" t="e">
        <f t="shared" si="1"/>
        <v>#DIV/0!</v>
      </c>
      <c r="R39" s="5"/>
      <c r="S39" s="5"/>
      <c r="T39" s="5"/>
      <c r="U39" s="12" t="e">
        <f t="shared" si="2"/>
        <v>#DIV/0!</v>
      </c>
      <c r="V39" s="13" t="e">
        <f t="shared" si="3"/>
        <v>#DIV/0!</v>
      </c>
      <c r="W39" s="14"/>
      <c r="X39" s="15" t="e">
        <f t="shared" si="4"/>
        <v>#DIV/0!</v>
      </c>
      <c r="Y39" s="4"/>
    </row>
    <row r="40" spans="1:25" x14ac:dyDescent="0.25">
      <c r="A40" s="8">
        <v>31</v>
      </c>
      <c r="B40" s="9"/>
      <c r="C40" s="5"/>
      <c r="D40" s="5"/>
      <c r="E40" s="5"/>
      <c r="F40" s="5"/>
      <c r="G40" s="5"/>
      <c r="H40" s="5"/>
      <c r="I40" s="5"/>
      <c r="J40" s="10" t="e">
        <f t="shared" si="0"/>
        <v>#DIV/0!</v>
      </c>
      <c r="K40" s="5"/>
      <c r="L40" s="5"/>
      <c r="M40" s="5"/>
      <c r="N40" s="5"/>
      <c r="O40" s="5"/>
      <c r="P40" s="5"/>
      <c r="Q40" s="11" t="e">
        <f t="shared" si="1"/>
        <v>#DIV/0!</v>
      </c>
      <c r="R40" s="5"/>
      <c r="S40" s="5"/>
      <c r="T40" s="5"/>
      <c r="U40" s="12" t="e">
        <f t="shared" si="2"/>
        <v>#DIV/0!</v>
      </c>
      <c r="V40" s="13" t="e">
        <f t="shared" si="3"/>
        <v>#DIV/0!</v>
      </c>
      <c r="W40" s="14"/>
      <c r="X40" s="15" t="e">
        <f t="shared" si="4"/>
        <v>#DIV/0!</v>
      </c>
      <c r="Y40" s="4"/>
    </row>
    <row r="41" spans="1:25" x14ac:dyDescent="0.25">
      <c r="A41" s="8">
        <v>32</v>
      </c>
      <c r="B41" s="9"/>
      <c r="C41" s="5"/>
      <c r="D41" s="5"/>
      <c r="E41" s="5"/>
      <c r="F41" s="5"/>
      <c r="G41" s="5"/>
      <c r="H41" s="5"/>
      <c r="I41" s="5"/>
      <c r="J41" s="10" t="e">
        <f t="shared" si="0"/>
        <v>#DIV/0!</v>
      </c>
      <c r="K41" s="5"/>
      <c r="L41" s="5"/>
      <c r="M41" s="5"/>
      <c r="N41" s="5"/>
      <c r="O41" s="5"/>
      <c r="P41" s="5"/>
      <c r="Q41" s="11" t="e">
        <f t="shared" si="1"/>
        <v>#DIV/0!</v>
      </c>
      <c r="R41" s="5"/>
      <c r="S41" s="5"/>
      <c r="T41" s="5"/>
      <c r="U41" s="12" t="e">
        <f t="shared" si="2"/>
        <v>#DIV/0!</v>
      </c>
      <c r="V41" s="13" t="e">
        <f t="shared" si="3"/>
        <v>#DIV/0!</v>
      </c>
      <c r="W41" s="14"/>
      <c r="X41" s="15" t="e">
        <f t="shared" si="4"/>
        <v>#DIV/0!</v>
      </c>
      <c r="Y41" s="4"/>
    </row>
    <row r="42" spans="1:25" x14ac:dyDescent="0.25">
      <c r="A42" s="8">
        <v>33</v>
      </c>
      <c r="B42" s="9"/>
      <c r="C42" s="5"/>
      <c r="D42" s="5"/>
      <c r="E42" s="5"/>
      <c r="F42" s="5"/>
      <c r="G42" s="5"/>
      <c r="H42" s="5"/>
      <c r="I42" s="5"/>
      <c r="J42" s="10" t="e">
        <f t="shared" si="0"/>
        <v>#DIV/0!</v>
      </c>
      <c r="K42" s="5"/>
      <c r="L42" s="5"/>
      <c r="M42" s="5"/>
      <c r="N42" s="5"/>
      <c r="O42" s="5"/>
      <c r="P42" s="5"/>
      <c r="Q42" s="11" t="e">
        <f t="shared" si="1"/>
        <v>#DIV/0!</v>
      </c>
      <c r="R42" s="5"/>
      <c r="S42" s="5"/>
      <c r="T42" s="5"/>
      <c r="U42" s="12" t="e">
        <f t="shared" si="2"/>
        <v>#DIV/0!</v>
      </c>
      <c r="V42" s="13" t="e">
        <f t="shared" si="3"/>
        <v>#DIV/0!</v>
      </c>
      <c r="W42" s="14"/>
      <c r="X42" s="15" t="e">
        <f t="shared" si="4"/>
        <v>#DIV/0!</v>
      </c>
      <c r="Y42" s="4"/>
    </row>
    <row r="43" spans="1:25" x14ac:dyDescent="0.25">
      <c r="A43" s="8">
        <v>34</v>
      </c>
      <c r="B43" s="9"/>
      <c r="C43" s="5"/>
      <c r="D43" s="5"/>
      <c r="E43" s="5"/>
      <c r="F43" s="5"/>
      <c r="G43" s="5"/>
      <c r="H43" s="5"/>
      <c r="I43" s="5"/>
      <c r="J43" s="10" t="e">
        <f t="shared" si="0"/>
        <v>#DIV/0!</v>
      </c>
      <c r="K43" s="5"/>
      <c r="L43" s="5"/>
      <c r="M43" s="5"/>
      <c r="N43" s="5"/>
      <c r="O43" s="5"/>
      <c r="P43" s="5"/>
      <c r="Q43" s="11" t="e">
        <f t="shared" si="1"/>
        <v>#DIV/0!</v>
      </c>
      <c r="R43" s="5"/>
      <c r="S43" s="5"/>
      <c r="T43" s="5"/>
      <c r="U43" s="12" t="e">
        <f t="shared" si="2"/>
        <v>#DIV/0!</v>
      </c>
      <c r="V43" s="13" t="e">
        <f t="shared" si="3"/>
        <v>#DIV/0!</v>
      </c>
      <c r="W43" s="14"/>
      <c r="X43" s="15" t="e">
        <f t="shared" si="4"/>
        <v>#DIV/0!</v>
      </c>
      <c r="Y43" s="4"/>
    </row>
    <row r="44" spans="1:25" x14ac:dyDescent="0.25">
      <c r="A44" s="8">
        <v>35</v>
      </c>
      <c r="B44" s="9"/>
      <c r="C44" s="5"/>
      <c r="D44" s="5"/>
      <c r="E44" s="5"/>
      <c r="F44" s="5"/>
      <c r="G44" s="5"/>
      <c r="H44" s="5"/>
      <c r="I44" s="5"/>
      <c r="J44" s="10" t="e">
        <f t="shared" si="0"/>
        <v>#DIV/0!</v>
      </c>
      <c r="K44" s="5"/>
      <c r="L44" s="5"/>
      <c r="M44" s="5"/>
      <c r="N44" s="5"/>
      <c r="O44" s="5"/>
      <c r="P44" s="5"/>
      <c r="Q44" s="11" t="e">
        <f t="shared" si="1"/>
        <v>#DIV/0!</v>
      </c>
      <c r="R44" s="5"/>
      <c r="S44" s="5"/>
      <c r="T44" s="5"/>
      <c r="U44" s="12" t="e">
        <f t="shared" si="2"/>
        <v>#DIV/0!</v>
      </c>
      <c r="V44" s="13" t="e">
        <f t="shared" si="3"/>
        <v>#DIV/0!</v>
      </c>
      <c r="W44" s="14"/>
      <c r="X44" s="15" t="e">
        <f t="shared" si="4"/>
        <v>#DIV/0!</v>
      </c>
      <c r="Y44" s="4"/>
    </row>
  </sheetData>
  <mergeCells count="37">
    <mergeCell ref="C7:D7"/>
    <mergeCell ref="E7:G7"/>
    <mergeCell ref="K7:L7"/>
    <mergeCell ref="Q7:R7"/>
    <mergeCell ref="C2:V2"/>
    <mergeCell ref="C3:V3"/>
    <mergeCell ref="C4:V4"/>
    <mergeCell ref="C5:V5"/>
    <mergeCell ref="C6:V6"/>
    <mergeCell ref="S7:T7"/>
    <mergeCell ref="A8:A10"/>
    <mergeCell ref="B8:B9"/>
    <mergeCell ref="C8:J8"/>
    <mergeCell ref="K8:Q8"/>
    <mergeCell ref="R8:U8"/>
    <mergeCell ref="K9:K10"/>
    <mergeCell ref="L9:L10"/>
    <mergeCell ref="M9:M10"/>
    <mergeCell ref="N9:N10"/>
    <mergeCell ref="S9:S10"/>
    <mergeCell ref="T9:T10"/>
    <mergeCell ref="W8:W10"/>
    <mergeCell ref="X8:X10"/>
    <mergeCell ref="C9:C10"/>
    <mergeCell ref="D9:D10"/>
    <mergeCell ref="E9:E10"/>
    <mergeCell ref="F9:F10"/>
    <mergeCell ref="G9:G10"/>
    <mergeCell ref="H9:H10"/>
    <mergeCell ref="I9:I10"/>
    <mergeCell ref="J9:J10"/>
    <mergeCell ref="V8:V10"/>
    <mergeCell ref="U9:U10"/>
    <mergeCell ref="O9:O10"/>
    <mergeCell ref="P9:P10"/>
    <mergeCell ref="Q9:Q10"/>
    <mergeCell ref="R9:R10"/>
  </mergeCells>
  <conditionalFormatting sqref="C11:I21 K11:P44 W11:W44 C22 E22:I22 C23:I27 C28 E28:I28 C29:I44">
    <cfRule type="cellIs" dxfId="41" priority="8" operator="between">
      <formula>4.3</formula>
      <formula>5</formula>
    </cfRule>
    <cfRule type="cellIs" dxfId="40" priority="9" operator="between">
      <formula>3.6</formula>
      <formula>4.299</formula>
    </cfRule>
    <cfRule type="cellIs" dxfId="39" priority="10" operator="between">
      <formula>1</formula>
      <formula>2.99</formula>
    </cfRule>
    <cfRule type="cellIs" dxfId="38" priority="11" operator="between">
      <formula>3</formula>
      <formula>3.599</formula>
    </cfRule>
  </conditionalFormatting>
  <conditionalFormatting sqref="R11:T44">
    <cfRule type="cellIs" dxfId="37" priority="14" operator="between">
      <formula>1</formula>
      <formula>2.9999</formula>
    </cfRule>
  </conditionalFormatting>
  <conditionalFormatting sqref="V11:V44">
    <cfRule type="cellIs" dxfId="36" priority="5" operator="between">
      <formula>4.3</formula>
      <formula>5</formula>
    </cfRule>
    <cfRule type="cellIs" dxfId="35" priority="6" operator="between">
      <formula>3.6</formula>
      <formula>4.29999</formula>
    </cfRule>
    <cfRule type="cellIs" dxfId="34" priority="7" operator="between">
      <formula>3</formula>
      <formula>3.5999</formula>
    </cfRule>
    <cfRule type="cellIs" dxfId="33" priority="13" operator="between">
      <formula>1</formula>
      <formula>2.9999</formula>
    </cfRule>
  </conditionalFormatting>
  <conditionalFormatting sqref="X11:X44">
    <cfRule type="cellIs" dxfId="32" priority="1" operator="between">
      <formula>4.3</formula>
      <formula>5</formula>
    </cfRule>
    <cfRule type="cellIs" dxfId="31" priority="2" operator="between">
      <formula>3.6</formula>
      <formula>4.29999</formula>
    </cfRule>
    <cfRule type="cellIs" dxfId="30" priority="3" operator="between">
      <formula>3</formula>
      <formula>3.5999</formula>
    </cfRule>
    <cfRule type="cellIs" dxfId="29" priority="4" operator="between">
      <formula>1</formula>
      <formula>2.9999</formula>
    </cfRule>
  </conditionalFormatting>
  <conditionalFormatting sqref="Y10:Y44">
    <cfRule type="cellIs" dxfId="28" priority="12" operator="lessThan">
      <formula>30</formula>
    </cfRule>
  </conditionalFormatting>
  <pageMargins left="0.25" right="0.25" top="0.75" bottom="0.75" header="0.3" footer="0.3"/>
  <pageSetup paperSize="9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4"/>
  <sheetViews>
    <sheetView topLeftCell="A14" zoomScale="145" zoomScaleNormal="145" workbookViewId="0">
      <selection activeCell="C7" sqref="C7:D7"/>
    </sheetView>
  </sheetViews>
  <sheetFormatPr baseColWidth="10" defaultColWidth="11.42578125" defaultRowHeight="15" x14ac:dyDescent="0.25"/>
  <cols>
    <col min="1" max="1" width="3.42578125" style="1" bestFit="1" customWidth="1"/>
    <col min="2" max="2" width="37.42578125" style="1" customWidth="1"/>
    <col min="3" max="3" width="6.140625" style="1" customWidth="1"/>
    <col min="4" max="4" width="4.5703125" style="1" customWidth="1"/>
    <col min="5" max="6" width="4.7109375" style="1" customWidth="1"/>
    <col min="7" max="9" width="4.5703125" style="1" customWidth="1"/>
    <col min="10" max="10" width="5.42578125" style="1" customWidth="1"/>
    <col min="11" max="11" width="5.5703125" style="1" customWidth="1"/>
    <col min="12" max="12" width="4.5703125" style="1" customWidth="1"/>
    <col min="13" max="13" width="6" style="1" customWidth="1"/>
    <col min="14" max="14" width="4.5703125" style="1" customWidth="1"/>
    <col min="15" max="15" width="5.7109375" style="1" customWidth="1"/>
    <col min="16" max="16" width="4.5703125" style="1" customWidth="1"/>
    <col min="17" max="17" width="5.5703125" style="1" customWidth="1"/>
    <col min="18" max="20" width="4.85546875" style="1" customWidth="1"/>
    <col min="21" max="21" width="9.42578125" style="1" customWidth="1"/>
    <col min="22" max="22" width="7.28515625" style="1" customWidth="1"/>
    <col min="23" max="24" width="4.5703125" style="1" customWidth="1"/>
    <col min="25" max="25" width="2.42578125" style="1" customWidth="1"/>
  </cols>
  <sheetData>
    <row r="1" spans="1:25" ht="15.75" x14ac:dyDescent="0.25">
      <c r="B1" s="2" t="s">
        <v>0</v>
      </c>
    </row>
    <row r="2" spans="1:25" x14ac:dyDescent="0.25">
      <c r="C2" s="58" t="s">
        <v>1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</row>
    <row r="3" spans="1:25" x14ac:dyDescent="0.25">
      <c r="C3" s="58" t="s">
        <v>2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</row>
    <row r="4" spans="1:25" x14ac:dyDescent="0.25">
      <c r="C4" s="58" t="s">
        <v>25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3"/>
      <c r="X4" s="3"/>
      <c r="Y4" s="3"/>
    </row>
    <row r="5" spans="1:25" ht="15" customHeight="1" x14ac:dyDescent="0.25">
      <c r="C5" s="59" t="s">
        <v>3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</row>
    <row r="6" spans="1:25" x14ac:dyDescent="0.25">
      <c r="C6" s="58" t="s">
        <v>4</v>
      </c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</row>
    <row r="7" spans="1:25" ht="16.5" thickBot="1" x14ac:dyDescent="0.3">
      <c r="C7" s="53" t="s">
        <v>5</v>
      </c>
      <c r="D7" s="53"/>
      <c r="E7" s="62" t="s">
        <v>26</v>
      </c>
      <c r="F7" s="63"/>
      <c r="G7" s="63"/>
      <c r="H7" s="63"/>
      <c r="I7" s="63"/>
      <c r="J7" s="64"/>
      <c r="K7" s="57" t="s">
        <v>6</v>
      </c>
      <c r="L7" s="57"/>
      <c r="M7" s="5">
        <v>4</v>
      </c>
      <c r="O7" s="4"/>
      <c r="Q7" s="57" t="s">
        <v>7</v>
      </c>
      <c r="R7" s="57"/>
      <c r="S7" s="60" t="s">
        <v>52</v>
      </c>
      <c r="T7" s="61"/>
    </row>
    <row r="8" spans="1:25" ht="24" customHeight="1" x14ac:dyDescent="0.25">
      <c r="A8" s="40" t="s">
        <v>8</v>
      </c>
      <c r="B8" s="43" t="s">
        <v>9</v>
      </c>
      <c r="C8" s="45" t="s">
        <v>10</v>
      </c>
      <c r="D8" s="46"/>
      <c r="E8" s="46"/>
      <c r="F8" s="46"/>
      <c r="G8" s="46"/>
      <c r="H8" s="46"/>
      <c r="I8" s="46"/>
      <c r="J8" s="47"/>
      <c r="K8" s="48" t="s">
        <v>11</v>
      </c>
      <c r="L8" s="49"/>
      <c r="M8" s="49"/>
      <c r="N8" s="49"/>
      <c r="O8" s="49"/>
      <c r="P8" s="49"/>
      <c r="Q8" s="50"/>
      <c r="R8" s="51" t="s">
        <v>12</v>
      </c>
      <c r="S8" s="52"/>
      <c r="T8" s="52"/>
      <c r="U8" s="52"/>
      <c r="V8" s="30" t="s">
        <v>13</v>
      </c>
      <c r="W8" s="21" t="s">
        <v>14</v>
      </c>
      <c r="X8" s="23" t="s">
        <v>15</v>
      </c>
      <c r="Y8" s="6"/>
    </row>
    <row r="9" spans="1:25" ht="14.25" customHeight="1" x14ac:dyDescent="0.25">
      <c r="A9" s="41"/>
      <c r="B9" s="44"/>
      <c r="C9" s="26" t="s">
        <v>51</v>
      </c>
      <c r="D9" s="26" t="s">
        <v>49</v>
      </c>
      <c r="E9" s="26"/>
      <c r="F9" s="26"/>
      <c r="G9" s="26"/>
      <c r="H9" s="26"/>
      <c r="I9" s="26"/>
      <c r="J9" s="28">
        <v>0.55000000000000004</v>
      </c>
      <c r="K9" s="34" t="s">
        <v>19</v>
      </c>
      <c r="L9" s="34" t="s">
        <v>21</v>
      </c>
      <c r="M9" s="34" t="s">
        <v>22</v>
      </c>
      <c r="N9" s="34" t="s">
        <v>20</v>
      </c>
      <c r="O9" s="34" t="s">
        <v>23</v>
      </c>
      <c r="P9" s="34" t="s">
        <v>24</v>
      </c>
      <c r="Q9" s="36">
        <v>0.3</v>
      </c>
      <c r="R9" s="38" t="s">
        <v>16</v>
      </c>
      <c r="S9" s="38" t="s">
        <v>17</v>
      </c>
      <c r="T9" s="38" t="s">
        <v>18</v>
      </c>
      <c r="U9" s="32">
        <v>0.15</v>
      </c>
      <c r="V9" s="31"/>
      <c r="W9" s="22"/>
      <c r="X9" s="24"/>
      <c r="Y9" s="6"/>
    </row>
    <row r="10" spans="1:25" ht="72" customHeight="1" x14ac:dyDescent="0.25">
      <c r="A10" s="42"/>
      <c r="B10" s="7" t="s">
        <v>26</v>
      </c>
      <c r="C10" s="27"/>
      <c r="D10" s="27"/>
      <c r="E10" s="27"/>
      <c r="F10" s="27"/>
      <c r="G10" s="27"/>
      <c r="H10" s="27"/>
      <c r="I10" s="27"/>
      <c r="J10" s="29"/>
      <c r="K10" s="35"/>
      <c r="L10" s="35"/>
      <c r="M10" s="35"/>
      <c r="N10" s="35"/>
      <c r="O10" s="35"/>
      <c r="P10" s="35"/>
      <c r="Q10" s="37"/>
      <c r="R10" s="39"/>
      <c r="S10" s="39"/>
      <c r="T10" s="39"/>
      <c r="U10" s="33"/>
      <c r="V10" s="31"/>
      <c r="W10" s="22"/>
      <c r="X10" s="25"/>
      <c r="Y10" s="4"/>
    </row>
    <row r="11" spans="1:25" x14ac:dyDescent="0.25">
      <c r="A11" s="8">
        <v>1</v>
      </c>
      <c r="B11" s="16" t="s">
        <v>27</v>
      </c>
      <c r="C11" s="16"/>
      <c r="D11" s="18"/>
      <c r="E11" s="5"/>
      <c r="F11" s="5"/>
      <c r="G11" s="5"/>
      <c r="H11" s="5"/>
      <c r="I11" s="5"/>
      <c r="J11" s="10" t="e">
        <f t="shared" ref="J11:J17" si="0">AVERAGE(C11:I11)*$J$9</f>
        <v>#DIV/0!</v>
      </c>
      <c r="K11" s="5">
        <v>3</v>
      </c>
      <c r="L11" s="5"/>
      <c r="M11" s="5"/>
      <c r="N11" s="5"/>
      <c r="O11" s="5"/>
      <c r="P11" s="5"/>
      <c r="Q11" s="11">
        <f t="shared" ref="Q11:Q17" si="1">AVERAGE(K11:P11)*$Q$9</f>
        <v>0.89999999999999991</v>
      </c>
      <c r="R11" s="5">
        <v>3</v>
      </c>
      <c r="S11" s="5"/>
      <c r="T11" s="5"/>
      <c r="U11" s="12">
        <f t="shared" ref="U11:U17" si="2">AVERAGE(R11:T11)*$U$9</f>
        <v>0.44999999999999996</v>
      </c>
      <c r="V11" s="13" t="e">
        <f t="shared" ref="V11:V17" si="3">J11+Q11+U11</f>
        <v>#DIV/0!</v>
      </c>
      <c r="W11" s="14"/>
      <c r="X11" s="15" t="e">
        <f t="shared" ref="X11:X17" si="4">IF(W11&lt;V11,V11,IF(W11&gt;=3,W11))</f>
        <v>#DIV/0!</v>
      </c>
      <c r="Y11" s="4"/>
    </row>
    <row r="12" spans="1:25" x14ac:dyDescent="0.25">
      <c r="A12" s="8">
        <v>2</v>
      </c>
      <c r="B12" s="16" t="s">
        <v>28</v>
      </c>
      <c r="C12" s="16"/>
      <c r="D12" s="18"/>
      <c r="E12" s="5"/>
      <c r="F12" s="5"/>
      <c r="G12" s="5"/>
      <c r="H12" s="5"/>
      <c r="I12" s="5"/>
      <c r="J12" s="10" t="e">
        <f t="shared" si="0"/>
        <v>#DIV/0!</v>
      </c>
      <c r="K12" s="5">
        <v>3</v>
      </c>
      <c r="L12" s="5"/>
      <c r="M12" s="5"/>
      <c r="N12" s="5"/>
      <c r="O12" s="5"/>
      <c r="P12" s="5"/>
      <c r="Q12" s="11">
        <f t="shared" si="1"/>
        <v>0.89999999999999991</v>
      </c>
      <c r="R12" s="5">
        <v>3</v>
      </c>
      <c r="S12" s="5"/>
      <c r="T12" s="5"/>
      <c r="U12" s="12">
        <f t="shared" si="2"/>
        <v>0.44999999999999996</v>
      </c>
      <c r="V12" s="13" t="e">
        <f t="shared" si="3"/>
        <v>#DIV/0!</v>
      </c>
      <c r="W12" s="14"/>
      <c r="X12" s="15" t="e">
        <f t="shared" si="4"/>
        <v>#DIV/0!</v>
      </c>
      <c r="Y12" s="4"/>
    </row>
    <row r="13" spans="1:25" x14ac:dyDescent="0.25">
      <c r="A13" s="8">
        <v>3</v>
      </c>
      <c r="B13" s="16" t="s">
        <v>29</v>
      </c>
      <c r="C13" s="16"/>
      <c r="D13" s="18"/>
      <c r="E13" s="5"/>
      <c r="F13" s="5"/>
      <c r="G13" s="5"/>
      <c r="H13" s="5"/>
      <c r="I13" s="5"/>
      <c r="J13" s="10" t="e">
        <f t="shared" si="0"/>
        <v>#DIV/0!</v>
      </c>
      <c r="K13" s="5">
        <v>3</v>
      </c>
      <c r="L13" s="5"/>
      <c r="M13" s="5"/>
      <c r="N13" s="5"/>
      <c r="O13" s="5"/>
      <c r="P13" s="5"/>
      <c r="Q13" s="11">
        <f t="shared" si="1"/>
        <v>0.89999999999999991</v>
      </c>
      <c r="R13" s="5">
        <v>3</v>
      </c>
      <c r="S13" s="5"/>
      <c r="T13" s="5"/>
      <c r="U13" s="12">
        <f t="shared" si="2"/>
        <v>0.44999999999999996</v>
      </c>
      <c r="V13" s="13" t="e">
        <f t="shared" si="3"/>
        <v>#DIV/0!</v>
      </c>
      <c r="W13" s="14"/>
      <c r="X13" s="15" t="e">
        <f t="shared" si="4"/>
        <v>#DIV/0!</v>
      </c>
      <c r="Y13" s="4"/>
    </row>
    <row r="14" spans="1:25" x14ac:dyDescent="0.25">
      <c r="A14" s="8">
        <v>4</v>
      </c>
      <c r="B14" s="16" t="s">
        <v>30</v>
      </c>
      <c r="C14" s="17"/>
      <c r="D14" s="17"/>
      <c r="E14" s="5"/>
      <c r="F14" s="5"/>
      <c r="G14" s="5"/>
      <c r="H14" s="5"/>
      <c r="I14" s="5"/>
      <c r="J14" s="10" t="e">
        <f t="shared" si="0"/>
        <v>#DIV/0!</v>
      </c>
      <c r="K14" s="5">
        <v>3</v>
      </c>
      <c r="L14" s="5"/>
      <c r="M14" s="5"/>
      <c r="N14" s="5"/>
      <c r="O14" s="5"/>
      <c r="P14" s="5"/>
      <c r="Q14" s="11">
        <f t="shared" si="1"/>
        <v>0.89999999999999991</v>
      </c>
      <c r="R14" s="5">
        <v>3</v>
      </c>
      <c r="S14" s="5"/>
      <c r="T14" s="5"/>
      <c r="U14" s="12">
        <f t="shared" si="2"/>
        <v>0.44999999999999996</v>
      </c>
      <c r="V14" s="13" t="e">
        <f t="shared" si="3"/>
        <v>#DIV/0!</v>
      </c>
      <c r="W14" s="14"/>
      <c r="X14" s="15" t="e">
        <f t="shared" si="4"/>
        <v>#DIV/0!</v>
      </c>
      <c r="Y14" s="4"/>
    </row>
    <row r="15" spans="1:25" x14ac:dyDescent="0.25">
      <c r="A15" s="8">
        <v>5</v>
      </c>
      <c r="B15" s="16" t="s">
        <v>31</v>
      </c>
      <c r="C15" s="16"/>
      <c r="D15" s="18"/>
      <c r="E15" s="5"/>
      <c r="F15" s="5"/>
      <c r="G15" s="5"/>
      <c r="H15" s="5"/>
      <c r="I15" s="5"/>
      <c r="J15" s="10" t="e">
        <f t="shared" si="0"/>
        <v>#DIV/0!</v>
      </c>
      <c r="K15" s="5">
        <v>3</v>
      </c>
      <c r="L15" s="5"/>
      <c r="M15" s="5"/>
      <c r="N15" s="5"/>
      <c r="O15" s="5"/>
      <c r="P15" s="5"/>
      <c r="Q15" s="11">
        <f t="shared" si="1"/>
        <v>0.89999999999999991</v>
      </c>
      <c r="R15" s="5">
        <v>3</v>
      </c>
      <c r="S15" s="5"/>
      <c r="T15" s="5"/>
      <c r="U15" s="12">
        <f t="shared" si="2"/>
        <v>0.44999999999999996</v>
      </c>
      <c r="V15" s="13" t="e">
        <f t="shared" si="3"/>
        <v>#DIV/0!</v>
      </c>
      <c r="W15" s="14"/>
      <c r="X15" s="15" t="e">
        <f t="shared" si="4"/>
        <v>#DIV/0!</v>
      </c>
      <c r="Y15" s="4"/>
    </row>
    <row r="16" spans="1:25" x14ac:dyDescent="0.25">
      <c r="A16" s="8">
        <v>6</v>
      </c>
      <c r="B16" s="16" t="s">
        <v>32</v>
      </c>
      <c r="C16" s="16"/>
      <c r="D16" s="18"/>
      <c r="E16" s="5"/>
      <c r="F16" s="5"/>
      <c r="G16" s="5"/>
      <c r="H16" s="5"/>
      <c r="I16" s="5"/>
      <c r="J16" s="10" t="e">
        <f t="shared" si="0"/>
        <v>#DIV/0!</v>
      </c>
      <c r="K16" s="5">
        <v>3</v>
      </c>
      <c r="L16" s="5"/>
      <c r="M16" s="5"/>
      <c r="N16" s="5"/>
      <c r="O16" s="5"/>
      <c r="P16" s="5"/>
      <c r="Q16" s="11">
        <f t="shared" si="1"/>
        <v>0.89999999999999991</v>
      </c>
      <c r="R16" s="5">
        <v>3</v>
      </c>
      <c r="S16" s="5"/>
      <c r="T16" s="5"/>
      <c r="U16" s="12">
        <f t="shared" si="2"/>
        <v>0.44999999999999996</v>
      </c>
      <c r="V16" s="13" t="e">
        <f t="shared" si="3"/>
        <v>#DIV/0!</v>
      </c>
      <c r="W16" s="14"/>
      <c r="X16" s="15" t="e">
        <f t="shared" si="4"/>
        <v>#DIV/0!</v>
      </c>
      <c r="Y16" s="4"/>
    </row>
    <row r="17" spans="1:25" x14ac:dyDescent="0.25">
      <c r="A17" s="8">
        <v>8</v>
      </c>
      <c r="B17" s="16" t="s">
        <v>33</v>
      </c>
      <c r="C17" s="16"/>
      <c r="D17" s="18"/>
      <c r="E17" s="5"/>
      <c r="F17" s="5"/>
      <c r="G17" s="5"/>
      <c r="H17" s="5"/>
      <c r="I17" s="5"/>
      <c r="J17" s="10" t="e">
        <f t="shared" si="0"/>
        <v>#DIV/0!</v>
      </c>
      <c r="K17" s="5">
        <v>3</v>
      </c>
      <c r="L17" s="5"/>
      <c r="M17" s="5"/>
      <c r="N17" s="5"/>
      <c r="O17" s="5"/>
      <c r="P17" s="5"/>
      <c r="Q17" s="11">
        <f t="shared" si="1"/>
        <v>0.89999999999999991</v>
      </c>
      <c r="R17" s="5">
        <v>3</v>
      </c>
      <c r="S17" s="5"/>
      <c r="T17" s="5"/>
      <c r="U17" s="12">
        <f t="shared" si="2"/>
        <v>0.44999999999999996</v>
      </c>
      <c r="V17" s="13" t="e">
        <f t="shared" si="3"/>
        <v>#DIV/0!</v>
      </c>
      <c r="W17" s="14"/>
      <c r="X17" s="15" t="e">
        <f t="shared" si="4"/>
        <v>#DIV/0!</v>
      </c>
      <c r="Y17" s="4"/>
    </row>
    <row r="18" spans="1:25" x14ac:dyDescent="0.25">
      <c r="A18" s="8">
        <v>9</v>
      </c>
      <c r="B18" s="16" t="s">
        <v>34</v>
      </c>
      <c r="C18" s="16"/>
      <c r="D18" s="16"/>
      <c r="E18" s="5"/>
      <c r="F18" s="5"/>
      <c r="G18" s="5"/>
      <c r="H18" s="5"/>
      <c r="I18" s="5"/>
      <c r="J18" s="10" t="e">
        <f t="shared" ref="J18:J44" si="5">AVERAGE(C18:I18)*$J$9</f>
        <v>#DIV/0!</v>
      </c>
      <c r="K18" s="5">
        <v>3</v>
      </c>
      <c r="L18" s="5"/>
      <c r="M18" s="5"/>
      <c r="N18" s="5"/>
      <c r="O18" s="5"/>
      <c r="P18" s="5"/>
      <c r="Q18" s="11">
        <f t="shared" ref="Q18:Q44" si="6">AVERAGE(K18:P18)*$Q$9</f>
        <v>0.89999999999999991</v>
      </c>
      <c r="R18" s="5">
        <v>3</v>
      </c>
      <c r="S18" s="5"/>
      <c r="T18" s="5"/>
      <c r="U18" s="12">
        <f t="shared" ref="U18:U44" si="7">AVERAGE(R18:T18)*$U$9</f>
        <v>0.44999999999999996</v>
      </c>
      <c r="V18" s="13" t="e">
        <f t="shared" ref="V18:V44" si="8">J18+Q18+U18</f>
        <v>#DIV/0!</v>
      </c>
      <c r="W18" s="14"/>
      <c r="X18" s="15" t="e">
        <f t="shared" ref="X18:X44" si="9">IF(W18&lt;V18,V18,IF(W18&gt;=3,W18))</f>
        <v>#DIV/0!</v>
      </c>
      <c r="Y18" s="4"/>
    </row>
    <row r="19" spans="1:25" x14ac:dyDescent="0.25">
      <c r="A19" s="8">
        <v>10</v>
      </c>
      <c r="B19" s="16" t="s">
        <v>35</v>
      </c>
      <c r="C19" s="5"/>
      <c r="D19" s="5"/>
      <c r="E19" s="5"/>
      <c r="F19" s="5"/>
      <c r="G19" s="5"/>
      <c r="H19" s="5"/>
      <c r="I19" s="5"/>
      <c r="J19" s="10" t="e">
        <f t="shared" si="5"/>
        <v>#DIV/0!</v>
      </c>
      <c r="K19" s="5">
        <v>3</v>
      </c>
      <c r="L19" s="5"/>
      <c r="M19" s="5"/>
      <c r="N19" s="5"/>
      <c r="O19" s="5"/>
      <c r="P19" s="5"/>
      <c r="Q19" s="11">
        <f t="shared" si="6"/>
        <v>0.89999999999999991</v>
      </c>
      <c r="R19" s="5">
        <v>3</v>
      </c>
      <c r="S19" s="5"/>
      <c r="T19" s="5"/>
      <c r="U19" s="12">
        <f t="shared" si="7"/>
        <v>0.44999999999999996</v>
      </c>
      <c r="V19" s="13" t="e">
        <f t="shared" si="8"/>
        <v>#DIV/0!</v>
      </c>
      <c r="W19" s="14"/>
      <c r="X19" s="15" t="e">
        <f t="shared" si="9"/>
        <v>#DIV/0!</v>
      </c>
      <c r="Y19" s="4"/>
    </row>
    <row r="20" spans="1:25" x14ac:dyDescent="0.25">
      <c r="A20" s="8">
        <v>11</v>
      </c>
      <c r="B20" s="16" t="s">
        <v>36</v>
      </c>
      <c r="C20" s="5"/>
      <c r="D20" s="5"/>
      <c r="E20" s="5"/>
      <c r="F20" s="5"/>
      <c r="G20" s="5"/>
      <c r="H20" s="5"/>
      <c r="I20" s="5"/>
      <c r="J20" s="10" t="e">
        <f t="shared" si="5"/>
        <v>#DIV/0!</v>
      </c>
      <c r="K20" s="5">
        <v>3</v>
      </c>
      <c r="L20" s="5"/>
      <c r="M20" s="5"/>
      <c r="N20" s="5"/>
      <c r="O20" s="5"/>
      <c r="P20" s="5"/>
      <c r="Q20" s="11">
        <f t="shared" si="6"/>
        <v>0.89999999999999991</v>
      </c>
      <c r="R20" s="5">
        <v>3</v>
      </c>
      <c r="S20" s="5"/>
      <c r="T20" s="5"/>
      <c r="U20" s="12">
        <f t="shared" si="7"/>
        <v>0.44999999999999996</v>
      </c>
      <c r="V20" s="13" t="e">
        <f t="shared" si="8"/>
        <v>#DIV/0!</v>
      </c>
      <c r="W20" s="14"/>
      <c r="X20" s="15" t="e">
        <f t="shared" si="9"/>
        <v>#DIV/0!</v>
      </c>
      <c r="Y20" s="4"/>
    </row>
    <row r="21" spans="1:25" x14ac:dyDescent="0.25">
      <c r="A21" s="8">
        <v>12</v>
      </c>
      <c r="B21" s="20" t="s">
        <v>38</v>
      </c>
      <c r="C21" s="5"/>
      <c r="D21" s="5"/>
      <c r="E21" s="5"/>
      <c r="F21" s="5"/>
      <c r="G21" s="5"/>
      <c r="H21" s="5"/>
      <c r="I21" s="5"/>
      <c r="J21" s="10" t="e">
        <f t="shared" si="5"/>
        <v>#DIV/0!</v>
      </c>
      <c r="K21" s="5">
        <v>3</v>
      </c>
      <c r="L21" s="5"/>
      <c r="M21" s="5"/>
      <c r="N21" s="5"/>
      <c r="O21" s="5"/>
      <c r="P21" s="5"/>
      <c r="Q21" s="11">
        <f t="shared" si="6"/>
        <v>0.89999999999999991</v>
      </c>
      <c r="R21" s="5">
        <v>3</v>
      </c>
      <c r="S21" s="5"/>
      <c r="T21" s="5"/>
      <c r="U21" s="12">
        <f t="shared" si="7"/>
        <v>0.44999999999999996</v>
      </c>
      <c r="V21" s="13" t="e">
        <f t="shared" si="8"/>
        <v>#DIV/0!</v>
      </c>
      <c r="W21" s="14"/>
      <c r="X21" s="15" t="e">
        <f t="shared" si="9"/>
        <v>#DIV/0!</v>
      </c>
      <c r="Y21" s="4"/>
    </row>
    <row r="22" spans="1:25" x14ac:dyDescent="0.25">
      <c r="A22" s="8">
        <v>13</v>
      </c>
      <c r="B22" s="16" t="s">
        <v>39</v>
      </c>
      <c r="C22" s="5"/>
      <c r="E22" s="5"/>
      <c r="F22" s="5"/>
      <c r="G22" s="5"/>
      <c r="H22" s="5"/>
      <c r="I22" s="5"/>
      <c r="J22" s="10" t="e">
        <f>AVERAGE(C22:I22)*$J$9</f>
        <v>#DIV/0!</v>
      </c>
      <c r="K22" s="5">
        <v>3</v>
      </c>
      <c r="L22" s="5"/>
      <c r="M22" s="5"/>
      <c r="N22" s="5"/>
      <c r="O22" s="5"/>
      <c r="P22" s="5"/>
      <c r="Q22" s="11">
        <f t="shared" si="6"/>
        <v>0.89999999999999991</v>
      </c>
      <c r="R22" s="5">
        <v>3</v>
      </c>
      <c r="S22" s="5"/>
      <c r="T22" s="5"/>
      <c r="U22" s="12">
        <f t="shared" si="7"/>
        <v>0.44999999999999996</v>
      </c>
      <c r="V22" s="13" t="e">
        <f t="shared" si="8"/>
        <v>#DIV/0!</v>
      </c>
      <c r="W22" s="14"/>
      <c r="X22" s="15" t="e">
        <f t="shared" si="9"/>
        <v>#DIV/0!</v>
      </c>
      <c r="Y22" s="4"/>
    </row>
    <row r="23" spans="1:25" x14ac:dyDescent="0.25">
      <c r="A23" s="8">
        <v>14</v>
      </c>
      <c r="B23" s="16" t="s">
        <v>40</v>
      </c>
      <c r="C23" s="5"/>
      <c r="D23" s="5"/>
      <c r="E23" s="5"/>
      <c r="F23" s="5"/>
      <c r="G23" s="5"/>
      <c r="H23" s="5"/>
      <c r="I23" s="5"/>
      <c r="J23" s="10" t="e">
        <f t="shared" si="5"/>
        <v>#DIV/0!</v>
      </c>
      <c r="K23" s="5">
        <v>3</v>
      </c>
      <c r="L23" s="5"/>
      <c r="M23" s="5"/>
      <c r="N23" s="5"/>
      <c r="O23" s="5"/>
      <c r="P23" s="5"/>
      <c r="Q23" s="11">
        <f t="shared" si="6"/>
        <v>0.89999999999999991</v>
      </c>
      <c r="R23" s="5">
        <v>3</v>
      </c>
      <c r="S23" s="5"/>
      <c r="T23" s="5"/>
      <c r="U23" s="12">
        <f t="shared" si="7"/>
        <v>0.44999999999999996</v>
      </c>
      <c r="V23" s="13" t="e">
        <f t="shared" si="8"/>
        <v>#DIV/0!</v>
      </c>
      <c r="W23" s="14"/>
      <c r="X23" s="15" t="e">
        <f t="shared" si="9"/>
        <v>#DIV/0!</v>
      </c>
      <c r="Y23" s="4"/>
    </row>
    <row r="24" spans="1:25" x14ac:dyDescent="0.25">
      <c r="A24" s="8">
        <v>15</v>
      </c>
      <c r="B24" s="16" t="s">
        <v>41</v>
      </c>
      <c r="C24" s="5"/>
      <c r="D24" s="5"/>
      <c r="E24" s="5"/>
      <c r="F24" s="5"/>
      <c r="G24" s="5"/>
      <c r="H24" s="5"/>
      <c r="I24" s="5"/>
      <c r="J24" s="10" t="e">
        <f t="shared" si="5"/>
        <v>#DIV/0!</v>
      </c>
      <c r="K24" s="5">
        <v>3</v>
      </c>
      <c r="L24" s="5"/>
      <c r="M24" s="5"/>
      <c r="N24" s="5"/>
      <c r="O24" s="5"/>
      <c r="P24" s="5"/>
      <c r="Q24" s="11">
        <f t="shared" si="6"/>
        <v>0.89999999999999991</v>
      </c>
      <c r="R24" s="5">
        <v>3</v>
      </c>
      <c r="S24" s="5"/>
      <c r="T24" s="5"/>
      <c r="U24" s="12">
        <f t="shared" si="7"/>
        <v>0.44999999999999996</v>
      </c>
      <c r="V24" s="13" t="e">
        <f t="shared" si="8"/>
        <v>#DIV/0!</v>
      </c>
      <c r="W24" s="14"/>
      <c r="X24" s="15" t="e">
        <f t="shared" si="9"/>
        <v>#DIV/0!</v>
      </c>
      <c r="Y24" s="4"/>
    </row>
    <row r="25" spans="1:25" x14ac:dyDescent="0.25">
      <c r="A25" s="8">
        <v>16</v>
      </c>
      <c r="B25" s="16" t="s">
        <v>42</v>
      </c>
      <c r="C25" s="5"/>
      <c r="D25" s="5"/>
      <c r="E25" s="5"/>
      <c r="F25" s="5"/>
      <c r="G25" s="5"/>
      <c r="H25" s="5"/>
      <c r="I25" s="5"/>
      <c r="J25" s="10" t="e">
        <f t="shared" si="5"/>
        <v>#DIV/0!</v>
      </c>
      <c r="K25" s="5">
        <v>3</v>
      </c>
      <c r="L25" s="5"/>
      <c r="M25" s="5"/>
      <c r="N25" s="5"/>
      <c r="O25" s="5"/>
      <c r="P25" s="5"/>
      <c r="Q25" s="11">
        <f t="shared" si="6"/>
        <v>0.89999999999999991</v>
      </c>
      <c r="R25" s="5">
        <v>3</v>
      </c>
      <c r="S25" s="5"/>
      <c r="T25" s="5"/>
      <c r="U25" s="12">
        <f t="shared" si="7"/>
        <v>0.44999999999999996</v>
      </c>
      <c r="V25" s="13" t="e">
        <f t="shared" si="8"/>
        <v>#DIV/0!</v>
      </c>
      <c r="W25" s="14"/>
      <c r="X25" s="15" t="e">
        <f t="shared" si="9"/>
        <v>#DIV/0!</v>
      </c>
      <c r="Y25" s="4"/>
    </row>
    <row r="26" spans="1:25" x14ac:dyDescent="0.25">
      <c r="A26" s="8">
        <v>17</v>
      </c>
      <c r="B26" s="16" t="s">
        <v>43</v>
      </c>
      <c r="C26" s="5"/>
      <c r="D26" s="5"/>
      <c r="E26" s="5"/>
      <c r="F26" s="5"/>
      <c r="G26" s="5"/>
      <c r="H26" s="5"/>
      <c r="I26" s="5"/>
      <c r="J26" s="10" t="e">
        <f t="shared" si="5"/>
        <v>#DIV/0!</v>
      </c>
      <c r="K26" s="5">
        <v>3</v>
      </c>
      <c r="L26" s="5"/>
      <c r="M26" s="5"/>
      <c r="N26" s="5"/>
      <c r="O26" s="5"/>
      <c r="P26" s="5"/>
      <c r="Q26" s="11">
        <f t="shared" si="6"/>
        <v>0.89999999999999991</v>
      </c>
      <c r="R26" s="5">
        <v>3</v>
      </c>
      <c r="S26" s="5"/>
      <c r="T26" s="5"/>
      <c r="U26" s="12">
        <f t="shared" si="7"/>
        <v>0.44999999999999996</v>
      </c>
      <c r="V26" s="13" t="e">
        <f t="shared" si="8"/>
        <v>#DIV/0!</v>
      </c>
      <c r="W26" s="14"/>
      <c r="X26" s="15" t="e">
        <f t="shared" si="9"/>
        <v>#DIV/0!</v>
      </c>
      <c r="Y26" s="4"/>
    </row>
    <row r="27" spans="1:25" x14ac:dyDescent="0.25">
      <c r="A27" s="8">
        <v>18</v>
      </c>
      <c r="B27" s="16" t="s">
        <v>44</v>
      </c>
      <c r="C27" s="5"/>
      <c r="D27" s="5"/>
      <c r="E27" s="5"/>
      <c r="F27" s="5"/>
      <c r="G27" s="5"/>
      <c r="H27" s="5"/>
      <c r="I27" s="5"/>
      <c r="J27" s="10" t="e">
        <f t="shared" si="5"/>
        <v>#DIV/0!</v>
      </c>
      <c r="K27" s="5">
        <v>3</v>
      </c>
      <c r="L27" s="5"/>
      <c r="M27" s="5"/>
      <c r="N27" s="5"/>
      <c r="O27" s="5"/>
      <c r="P27" s="5"/>
      <c r="Q27" s="11">
        <f t="shared" si="6"/>
        <v>0.89999999999999991</v>
      </c>
      <c r="R27" s="5">
        <v>3</v>
      </c>
      <c r="S27" s="5"/>
      <c r="T27" s="5"/>
      <c r="U27" s="12">
        <f t="shared" si="7"/>
        <v>0.44999999999999996</v>
      </c>
      <c r="V27" s="13" t="e">
        <f t="shared" si="8"/>
        <v>#DIV/0!</v>
      </c>
      <c r="W27" s="14"/>
      <c r="X27" s="15" t="e">
        <f t="shared" si="9"/>
        <v>#DIV/0!</v>
      </c>
      <c r="Y27" s="4"/>
    </row>
    <row r="28" spans="1:25" x14ac:dyDescent="0.25">
      <c r="A28" s="8">
        <v>19</v>
      </c>
      <c r="B28" s="16" t="s">
        <v>45</v>
      </c>
      <c r="C28" s="5"/>
      <c r="E28" s="5"/>
      <c r="F28" s="5"/>
      <c r="G28" s="5"/>
      <c r="H28" s="5"/>
      <c r="I28" s="5"/>
      <c r="J28" s="10" t="e">
        <f>AVERAGE(C28:I28)*$J$9</f>
        <v>#DIV/0!</v>
      </c>
      <c r="K28" s="5">
        <v>3</v>
      </c>
      <c r="L28" s="5"/>
      <c r="M28" s="5"/>
      <c r="N28" s="5"/>
      <c r="O28" s="5"/>
      <c r="P28" s="5"/>
      <c r="Q28" s="11">
        <f t="shared" si="6"/>
        <v>0.89999999999999991</v>
      </c>
      <c r="R28" s="5">
        <v>3</v>
      </c>
      <c r="S28" s="5"/>
      <c r="T28" s="5"/>
      <c r="U28" s="12">
        <f t="shared" si="7"/>
        <v>0.44999999999999996</v>
      </c>
      <c r="V28" s="13" t="e">
        <f t="shared" si="8"/>
        <v>#DIV/0!</v>
      </c>
      <c r="W28" s="14"/>
      <c r="X28" s="15" t="e">
        <f t="shared" si="9"/>
        <v>#DIV/0!</v>
      </c>
      <c r="Y28" s="4"/>
    </row>
    <row r="29" spans="1:25" x14ac:dyDescent="0.25">
      <c r="A29" s="8">
        <v>20</v>
      </c>
      <c r="B29" s="16" t="s">
        <v>46</v>
      </c>
      <c r="C29" s="5"/>
      <c r="D29" s="5"/>
      <c r="E29" s="5"/>
      <c r="F29" s="5"/>
      <c r="G29" s="5"/>
      <c r="H29" s="5"/>
      <c r="I29" s="5"/>
      <c r="J29" s="10" t="e">
        <f t="shared" si="5"/>
        <v>#DIV/0!</v>
      </c>
      <c r="K29" s="5">
        <v>3</v>
      </c>
      <c r="L29" s="5"/>
      <c r="M29" s="5"/>
      <c r="N29" s="5"/>
      <c r="O29" s="5"/>
      <c r="P29" s="5"/>
      <c r="Q29" s="11">
        <f t="shared" si="6"/>
        <v>0.89999999999999991</v>
      </c>
      <c r="R29" s="5">
        <v>3</v>
      </c>
      <c r="S29" s="5"/>
      <c r="T29" s="5"/>
      <c r="U29" s="12">
        <f t="shared" si="7"/>
        <v>0.44999999999999996</v>
      </c>
      <c r="V29" s="13" t="e">
        <f t="shared" si="8"/>
        <v>#DIV/0!</v>
      </c>
      <c r="W29" s="14"/>
      <c r="X29" s="15" t="e">
        <f t="shared" si="9"/>
        <v>#DIV/0!</v>
      </c>
      <c r="Y29" s="4"/>
    </row>
    <row r="30" spans="1:25" x14ac:dyDescent="0.25">
      <c r="A30" s="8">
        <v>21</v>
      </c>
      <c r="B30" s="9"/>
      <c r="C30" s="5"/>
      <c r="D30" s="5"/>
      <c r="E30" s="5"/>
      <c r="F30" s="5"/>
      <c r="G30" s="5"/>
      <c r="H30" s="5"/>
      <c r="I30" s="5"/>
      <c r="J30" s="10" t="e">
        <f t="shared" si="5"/>
        <v>#DIV/0!</v>
      </c>
      <c r="K30" s="5"/>
      <c r="L30" s="5"/>
      <c r="M30" s="5"/>
      <c r="N30" s="5"/>
      <c r="O30" s="5"/>
      <c r="P30" s="5"/>
      <c r="Q30" s="11" t="e">
        <f t="shared" si="6"/>
        <v>#DIV/0!</v>
      </c>
      <c r="R30" s="5"/>
      <c r="S30" s="5"/>
      <c r="T30" s="5"/>
      <c r="U30" s="12" t="e">
        <f t="shared" si="7"/>
        <v>#DIV/0!</v>
      </c>
      <c r="V30" s="13" t="e">
        <f t="shared" si="8"/>
        <v>#DIV/0!</v>
      </c>
      <c r="W30" s="14"/>
      <c r="X30" s="15" t="e">
        <f t="shared" si="9"/>
        <v>#DIV/0!</v>
      </c>
      <c r="Y30" s="4"/>
    </row>
    <row r="31" spans="1:25" x14ac:dyDescent="0.25">
      <c r="A31" s="8">
        <v>22</v>
      </c>
      <c r="B31" s="9"/>
      <c r="C31" s="5"/>
      <c r="D31" s="5"/>
      <c r="E31" s="5"/>
      <c r="F31" s="5"/>
      <c r="G31" s="5"/>
      <c r="H31" s="5"/>
      <c r="I31" s="5"/>
      <c r="J31" s="10" t="e">
        <f t="shared" si="5"/>
        <v>#DIV/0!</v>
      </c>
      <c r="K31" s="5"/>
      <c r="L31" s="5"/>
      <c r="M31" s="5"/>
      <c r="N31" s="5"/>
      <c r="O31" s="5"/>
      <c r="P31" s="5"/>
      <c r="Q31" s="11" t="e">
        <f t="shared" si="6"/>
        <v>#DIV/0!</v>
      </c>
      <c r="R31" s="5"/>
      <c r="S31" s="5"/>
      <c r="T31" s="5"/>
      <c r="U31" s="12" t="e">
        <f t="shared" si="7"/>
        <v>#DIV/0!</v>
      </c>
      <c r="V31" s="13" t="e">
        <f t="shared" si="8"/>
        <v>#DIV/0!</v>
      </c>
      <c r="W31" s="14"/>
      <c r="X31" s="15" t="e">
        <f t="shared" si="9"/>
        <v>#DIV/0!</v>
      </c>
      <c r="Y31" s="4"/>
    </row>
    <row r="32" spans="1:25" x14ac:dyDescent="0.25">
      <c r="A32" s="8">
        <v>23</v>
      </c>
      <c r="B32" s="9"/>
      <c r="C32" s="5"/>
      <c r="D32" s="5"/>
      <c r="E32" s="5"/>
      <c r="F32" s="5"/>
      <c r="G32" s="5"/>
      <c r="H32" s="5"/>
      <c r="I32" s="5"/>
      <c r="J32" s="10" t="e">
        <f t="shared" si="5"/>
        <v>#DIV/0!</v>
      </c>
      <c r="K32" s="5"/>
      <c r="L32" s="5"/>
      <c r="M32" s="5"/>
      <c r="N32" s="5"/>
      <c r="O32" s="5"/>
      <c r="P32" s="5"/>
      <c r="Q32" s="11" t="e">
        <f t="shared" si="6"/>
        <v>#DIV/0!</v>
      </c>
      <c r="R32" s="5"/>
      <c r="S32" s="5"/>
      <c r="T32" s="5"/>
      <c r="U32" s="12" t="e">
        <f t="shared" si="7"/>
        <v>#DIV/0!</v>
      </c>
      <c r="V32" s="13" t="e">
        <f t="shared" si="8"/>
        <v>#DIV/0!</v>
      </c>
      <c r="W32" s="14"/>
      <c r="X32" s="15" t="e">
        <f t="shared" si="9"/>
        <v>#DIV/0!</v>
      </c>
      <c r="Y32" s="4"/>
    </row>
    <row r="33" spans="1:25" x14ac:dyDescent="0.25">
      <c r="A33" s="8">
        <v>24</v>
      </c>
      <c r="B33" s="9"/>
      <c r="C33" s="5"/>
      <c r="D33" s="5"/>
      <c r="E33" s="5"/>
      <c r="F33" s="5"/>
      <c r="G33" s="5"/>
      <c r="H33" s="5"/>
      <c r="I33" s="5"/>
      <c r="J33" s="10" t="e">
        <f t="shared" si="5"/>
        <v>#DIV/0!</v>
      </c>
      <c r="K33" s="5"/>
      <c r="L33" s="5"/>
      <c r="M33" s="5"/>
      <c r="N33" s="5"/>
      <c r="O33" s="5"/>
      <c r="P33" s="5"/>
      <c r="Q33" s="11" t="e">
        <f t="shared" si="6"/>
        <v>#DIV/0!</v>
      </c>
      <c r="R33" s="5"/>
      <c r="S33" s="5"/>
      <c r="T33" s="5"/>
      <c r="U33" s="12" t="e">
        <f t="shared" si="7"/>
        <v>#DIV/0!</v>
      </c>
      <c r="V33" s="13" t="e">
        <f t="shared" si="8"/>
        <v>#DIV/0!</v>
      </c>
      <c r="W33" s="14"/>
      <c r="X33" s="15" t="e">
        <f t="shared" si="9"/>
        <v>#DIV/0!</v>
      </c>
      <c r="Y33" s="4"/>
    </row>
    <row r="34" spans="1:25" x14ac:dyDescent="0.25">
      <c r="A34" s="8">
        <v>25</v>
      </c>
      <c r="B34" s="9"/>
      <c r="C34" s="5"/>
      <c r="D34" s="5"/>
      <c r="E34" s="5"/>
      <c r="F34" s="5"/>
      <c r="G34" s="5"/>
      <c r="H34" s="5"/>
      <c r="I34" s="5"/>
      <c r="J34" s="10" t="e">
        <f t="shared" si="5"/>
        <v>#DIV/0!</v>
      </c>
      <c r="K34" s="5"/>
      <c r="L34" s="5"/>
      <c r="M34" s="5"/>
      <c r="N34" s="5"/>
      <c r="O34" s="5"/>
      <c r="P34" s="5"/>
      <c r="Q34" s="11" t="e">
        <f t="shared" si="6"/>
        <v>#DIV/0!</v>
      </c>
      <c r="R34" s="5"/>
      <c r="S34" s="5"/>
      <c r="T34" s="5"/>
      <c r="U34" s="12" t="e">
        <f t="shared" si="7"/>
        <v>#DIV/0!</v>
      </c>
      <c r="V34" s="13" t="e">
        <f t="shared" si="8"/>
        <v>#DIV/0!</v>
      </c>
      <c r="W34" s="14"/>
      <c r="X34" s="15" t="e">
        <f t="shared" si="9"/>
        <v>#DIV/0!</v>
      </c>
      <c r="Y34" s="4"/>
    </row>
    <row r="35" spans="1:25" x14ac:dyDescent="0.25">
      <c r="A35" s="8">
        <v>26</v>
      </c>
      <c r="B35" s="9"/>
      <c r="C35" s="5"/>
      <c r="D35" s="5"/>
      <c r="E35" s="5"/>
      <c r="F35" s="5"/>
      <c r="G35" s="5"/>
      <c r="H35" s="5"/>
      <c r="I35" s="5"/>
      <c r="J35" s="10" t="e">
        <f t="shared" si="5"/>
        <v>#DIV/0!</v>
      </c>
      <c r="K35" s="5"/>
      <c r="L35" s="5"/>
      <c r="M35" s="5"/>
      <c r="N35" s="5"/>
      <c r="O35" s="5"/>
      <c r="P35" s="5"/>
      <c r="Q35" s="11" t="e">
        <f t="shared" si="6"/>
        <v>#DIV/0!</v>
      </c>
      <c r="R35" s="5"/>
      <c r="S35" s="5"/>
      <c r="T35" s="5"/>
      <c r="U35" s="12" t="e">
        <f t="shared" si="7"/>
        <v>#DIV/0!</v>
      </c>
      <c r="V35" s="13" t="e">
        <f t="shared" si="8"/>
        <v>#DIV/0!</v>
      </c>
      <c r="W35" s="14"/>
      <c r="X35" s="15" t="e">
        <f t="shared" si="9"/>
        <v>#DIV/0!</v>
      </c>
      <c r="Y35" s="4"/>
    </row>
    <row r="36" spans="1:25" x14ac:dyDescent="0.25">
      <c r="A36" s="8">
        <v>27</v>
      </c>
      <c r="B36" s="9"/>
      <c r="C36" s="5"/>
      <c r="D36" s="5"/>
      <c r="E36" s="5"/>
      <c r="F36" s="5"/>
      <c r="G36" s="5"/>
      <c r="H36" s="5"/>
      <c r="I36" s="5"/>
      <c r="J36" s="10" t="e">
        <f t="shared" si="5"/>
        <v>#DIV/0!</v>
      </c>
      <c r="K36" s="5"/>
      <c r="L36" s="5"/>
      <c r="M36" s="5"/>
      <c r="N36" s="5"/>
      <c r="O36" s="5"/>
      <c r="P36" s="5"/>
      <c r="Q36" s="11" t="e">
        <f t="shared" si="6"/>
        <v>#DIV/0!</v>
      </c>
      <c r="R36" s="5"/>
      <c r="S36" s="5"/>
      <c r="T36" s="5"/>
      <c r="U36" s="12" t="e">
        <f t="shared" si="7"/>
        <v>#DIV/0!</v>
      </c>
      <c r="V36" s="13" t="e">
        <f t="shared" si="8"/>
        <v>#DIV/0!</v>
      </c>
      <c r="W36" s="14"/>
      <c r="X36" s="15" t="e">
        <f t="shared" si="9"/>
        <v>#DIV/0!</v>
      </c>
      <c r="Y36" s="4"/>
    </row>
    <row r="37" spans="1:25" x14ac:dyDescent="0.25">
      <c r="A37" s="8">
        <v>28</v>
      </c>
      <c r="B37" s="9"/>
      <c r="C37" s="5"/>
      <c r="D37" s="5"/>
      <c r="E37" s="5"/>
      <c r="F37" s="5"/>
      <c r="G37" s="5"/>
      <c r="H37" s="5"/>
      <c r="I37" s="5"/>
      <c r="J37" s="10" t="e">
        <f t="shared" si="5"/>
        <v>#DIV/0!</v>
      </c>
      <c r="K37" s="5"/>
      <c r="L37" s="5"/>
      <c r="M37" s="5"/>
      <c r="N37" s="5"/>
      <c r="O37" s="5"/>
      <c r="P37" s="5"/>
      <c r="Q37" s="11" t="e">
        <f t="shared" si="6"/>
        <v>#DIV/0!</v>
      </c>
      <c r="R37" s="5"/>
      <c r="S37" s="5"/>
      <c r="T37" s="5"/>
      <c r="U37" s="12" t="e">
        <f t="shared" si="7"/>
        <v>#DIV/0!</v>
      </c>
      <c r="V37" s="13" t="e">
        <f t="shared" si="8"/>
        <v>#DIV/0!</v>
      </c>
      <c r="W37" s="14"/>
      <c r="X37" s="15" t="e">
        <f t="shared" si="9"/>
        <v>#DIV/0!</v>
      </c>
      <c r="Y37" s="4"/>
    </row>
    <row r="38" spans="1:25" x14ac:dyDescent="0.25">
      <c r="A38" s="8">
        <v>29</v>
      </c>
      <c r="B38" s="9"/>
      <c r="C38" s="5"/>
      <c r="D38" s="5"/>
      <c r="E38" s="5"/>
      <c r="F38" s="5"/>
      <c r="G38" s="5"/>
      <c r="H38" s="5"/>
      <c r="I38" s="5"/>
      <c r="J38" s="10" t="e">
        <f t="shared" si="5"/>
        <v>#DIV/0!</v>
      </c>
      <c r="K38" s="5"/>
      <c r="L38" s="5"/>
      <c r="M38" s="5"/>
      <c r="N38" s="5"/>
      <c r="O38" s="5"/>
      <c r="P38" s="5"/>
      <c r="Q38" s="11" t="e">
        <f t="shared" si="6"/>
        <v>#DIV/0!</v>
      </c>
      <c r="R38" s="5"/>
      <c r="S38" s="5"/>
      <c r="T38" s="5"/>
      <c r="U38" s="12" t="e">
        <f t="shared" si="7"/>
        <v>#DIV/0!</v>
      </c>
      <c r="V38" s="13" t="e">
        <f t="shared" si="8"/>
        <v>#DIV/0!</v>
      </c>
      <c r="W38" s="14"/>
      <c r="X38" s="15" t="e">
        <f t="shared" si="9"/>
        <v>#DIV/0!</v>
      </c>
      <c r="Y38" s="4"/>
    </row>
    <row r="39" spans="1:25" x14ac:dyDescent="0.25">
      <c r="A39" s="8">
        <v>30</v>
      </c>
      <c r="B39" s="9"/>
      <c r="C39" s="5"/>
      <c r="D39" s="5"/>
      <c r="E39" s="5"/>
      <c r="F39" s="5"/>
      <c r="G39" s="5"/>
      <c r="H39" s="5"/>
      <c r="I39" s="5"/>
      <c r="J39" s="10" t="e">
        <f t="shared" si="5"/>
        <v>#DIV/0!</v>
      </c>
      <c r="K39" s="5"/>
      <c r="L39" s="5"/>
      <c r="M39" s="5"/>
      <c r="N39" s="5"/>
      <c r="O39" s="5"/>
      <c r="P39" s="5"/>
      <c r="Q39" s="11" t="e">
        <f t="shared" si="6"/>
        <v>#DIV/0!</v>
      </c>
      <c r="R39" s="5"/>
      <c r="S39" s="5"/>
      <c r="T39" s="5"/>
      <c r="U39" s="12" t="e">
        <f t="shared" si="7"/>
        <v>#DIV/0!</v>
      </c>
      <c r="V39" s="13" t="e">
        <f t="shared" si="8"/>
        <v>#DIV/0!</v>
      </c>
      <c r="W39" s="14"/>
      <c r="X39" s="15" t="e">
        <f t="shared" si="9"/>
        <v>#DIV/0!</v>
      </c>
      <c r="Y39" s="4"/>
    </row>
    <row r="40" spans="1:25" x14ac:dyDescent="0.25">
      <c r="A40" s="8">
        <v>31</v>
      </c>
      <c r="B40" s="9"/>
      <c r="C40" s="5"/>
      <c r="D40" s="5"/>
      <c r="E40" s="5"/>
      <c r="F40" s="5"/>
      <c r="G40" s="5"/>
      <c r="H40" s="5"/>
      <c r="I40" s="5"/>
      <c r="J40" s="10" t="e">
        <f t="shared" si="5"/>
        <v>#DIV/0!</v>
      </c>
      <c r="K40" s="5"/>
      <c r="L40" s="5"/>
      <c r="M40" s="5"/>
      <c r="N40" s="5"/>
      <c r="O40" s="5"/>
      <c r="P40" s="5"/>
      <c r="Q40" s="11" t="e">
        <f t="shared" si="6"/>
        <v>#DIV/0!</v>
      </c>
      <c r="R40" s="5"/>
      <c r="S40" s="5"/>
      <c r="T40" s="5"/>
      <c r="U40" s="12" t="e">
        <f t="shared" si="7"/>
        <v>#DIV/0!</v>
      </c>
      <c r="V40" s="13" t="e">
        <f t="shared" si="8"/>
        <v>#DIV/0!</v>
      </c>
      <c r="W40" s="14"/>
      <c r="X40" s="15" t="e">
        <f t="shared" si="9"/>
        <v>#DIV/0!</v>
      </c>
      <c r="Y40" s="4"/>
    </row>
    <row r="41" spans="1:25" x14ac:dyDescent="0.25">
      <c r="A41" s="8">
        <v>32</v>
      </c>
      <c r="B41" s="9"/>
      <c r="C41" s="5"/>
      <c r="D41" s="5"/>
      <c r="E41" s="5"/>
      <c r="F41" s="5"/>
      <c r="G41" s="5"/>
      <c r="H41" s="5"/>
      <c r="I41" s="5"/>
      <c r="J41" s="10" t="e">
        <f t="shared" si="5"/>
        <v>#DIV/0!</v>
      </c>
      <c r="K41" s="5"/>
      <c r="L41" s="5"/>
      <c r="M41" s="5"/>
      <c r="N41" s="5"/>
      <c r="O41" s="5"/>
      <c r="P41" s="5"/>
      <c r="Q41" s="11" t="e">
        <f t="shared" si="6"/>
        <v>#DIV/0!</v>
      </c>
      <c r="R41" s="5"/>
      <c r="S41" s="5"/>
      <c r="T41" s="5"/>
      <c r="U41" s="12" t="e">
        <f t="shared" si="7"/>
        <v>#DIV/0!</v>
      </c>
      <c r="V41" s="13" t="e">
        <f t="shared" si="8"/>
        <v>#DIV/0!</v>
      </c>
      <c r="W41" s="14"/>
      <c r="X41" s="15" t="e">
        <f t="shared" si="9"/>
        <v>#DIV/0!</v>
      </c>
      <c r="Y41" s="4"/>
    </row>
    <row r="42" spans="1:25" x14ac:dyDescent="0.25">
      <c r="A42" s="8">
        <v>33</v>
      </c>
      <c r="B42" s="9"/>
      <c r="C42" s="5"/>
      <c r="D42" s="5"/>
      <c r="E42" s="5"/>
      <c r="F42" s="5"/>
      <c r="G42" s="5"/>
      <c r="H42" s="5"/>
      <c r="I42" s="5"/>
      <c r="J42" s="10" t="e">
        <f t="shared" si="5"/>
        <v>#DIV/0!</v>
      </c>
      <c r="K42" s="5"/>
      <c r="L42" s="5"/>
      <c r="M42" s="5"/>
      <c r="N42" s="5"/>
      <c r="O42" s="5"/>
      <c r="P42" s="5"/>
      <c r="Q42" s="11" t="e">
        <f t="shared" si="6"/>
        <v>#DIV/0!</v>
      </c>
      <c r="R42" s="5"/>
      <c r="S42" s="5"/>
      <c r="T42" s="5"/>
      <c r="U42" s="12" t="e">
        <f t="shared" si="7"/>
        <v>#DIV/0!</v>
      </c>
      <c r="V42" s="13" t="e">
        <f t="shared" si="8"/>
        <v>#DIV/0!</v>
      </c>
      <c r="W42" s="14"/>
      <c r="X42" s="15" t="e">
        <f t="shared" si="9"/>
        <v>#DIV/0!</v>
      </c>
      <c r="Y42" s="4"/>
    </row>
    <row r="43" spans="1:25" x14ac:dyDescent="0.25">
      <c r="A43" s="8">
        <v>34</v>
      </c>
      <c r="B43" s="9"/>
      <c r="C43" s="5"/>
      <c r="D43" s="5"/>
      <c r="E43" s="5"/>
      <c r="F43" s="5"/>
      <c r="G43" s="5"/>
      <c r="H43" s="5"/>
      <c r="I43" s="5"/>
      <c r="J43" s="10" t="e">
        <f t="shared" si="5"/>
        <v>#DIV/0!</v>
      </c>
      <c r="K43" s="5"/>
      <c r="L43" s="5"/>
      <c r="M43" s="5"/>
      <c r="N43" s="5"/>
      <c r="O43" s="5"/>
      <c r="P43" s="5"/>
      <c r="Q43" s="11" t="e">
        <f t="shared" si="6"/>
        <v>#DIV/0!</v>
      </c>
      <c r="R43" s="5"/>
      <c r="S43" s="5"/>
      <c r="T43" s="5"/>
      <c r="U43" s="12" t="e">
        <f t="shared" si="7"/>
        <v>#DIV/0!</v>
      </c>
      <c r="V43" s="13" t="e">
        <f t="shared" si="8"/>
        <v>#DIV/0!</v>
      </c>
      <c r="W43" s="14"/>
      <c r="X43" s="15" t="e">
        <f t="shared" si="9"/>
        <v>#DIV/0!</v>
      </c>
      <c r="Y43" s="4"/>
    </row>
    <row r="44" spans="1:25" x14ac:dyDescent="0.25">
      <c r="A44" s="8">
        <v>35</v>
      </c>
      <c r="B44" s="9"/>
      <c r="C44" s="5"/>
      <c r="D44" s="5"/>
      <c r="E44" s="5"/>
      <c r="F44" s="5"/>
      <c r="G44" s="5"/>
      <c r="H44" s="5"/>
      <c r="I44" s="5"/>
      <c r="J44" s="10" t="e">
        <f t="shared" si="5"/>
        <v>#DIV/0!</v>
      </c>
      <c r="K44" s="5"/>
      <c r="L44" s="5"/>
      <c r="M44" s="5"/>
      <c r="N44" s="5"/>
      <c r="O44" s="5"/>
      <c r="P44" s="5"/>
      <c r="Q44" s="11" t="e">
        <f t="shared" si="6"/>
        <v>#DIV/0!</v>
      </c>
      <c r="R44" s="5"/>
      <c r="S44" s="5"/>
      <c r="T44" s="5"/>
      <c r="U44" s="12" t="e">
        <f t="shared" si="7"/>
        <v>#DIV/0!</v>
      </c>
      <c r="V44" s="13" t="e">
        <f t="shared" si="8"/>
        <v>#DIV/0!</v>
      </c>
      <c r="W44" s="14"/>
      <c r="X44" s="15" t="e">
        <f t="shared" si="9"/>
        <v>#DIV/0!</v>
      </c>
      <c r="Y44" s="4"/>
    </row>
  </sheetData>
  <sortState xmlns:xlrd2="http://schemas.microsoft.com/office/spreadsheetml/2017/richdata2" ref="B11:X17">
    <sortCondition ref="B11:B17"/>
  </sortState>
  <mergeCells count="37">
    <mergeCell ref="C4:V4"/>
    <mergeCell ref="C5:V5"/>
    <mergeCell ref="C2:V2"/>
    <mergeCell ref="C3:V3"/>
    <mergeCell ref="V8:V10"/>
    <mergeCell ref="E7:J7"/>
    <mergeCell ref="W8:W10"/>
    <mergeCell ref="X8:X10"/>
    <mergeCell ref="C6:V6"/>
    <mergeCell ref="C7:D7"/>
    <mergeCell ref="K7:L7"/>
    <mergeCell ref="Q7:R7"/>
    <mergeCell ref="M9:M10"/>
    <mergeCell ref="U9:U10"/>
    <mergeCell ref="O9:O10"/>
    <mergeCell ref="P9:P10"/>
    <mergeCell ref="Q9:Q10"/>
    <mergeCell ref="R9:R10"/>
    <mergeCell ref="S9:S10"/>
    <mergeCell ref="T9:T10"/>
    <mergeCell ref="S7:T7"/>
    <mergeCell ref="A8:A10"/>
    <mergeCell ref="B8:B9"/>
    <mergeCell ref="C8:J8"/>
    <mergeCell ref="K8:Q8"/>
    <mergeCell ref="R8:U8"/>
    <mergeCell ref="N9:N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</mergeCells>
  <conditionalFormatting sqref="C11:I21 K11:P44 W11:W44 C22 E22:I22 C23:I27 C28 E28:I28 C29:I44">
    <cfRule type="cellIs" dxfId="27" priority="99" operator="between">
      <formula>4.3</formula>
      <formula>5</formula>
    </cfRule>
    <cfRule type="cellIs" dxfId="26" priority="100" operator="between">
      <formula>3.6</formula>
      <formula>4.299</formula>
    </cfRule>
    <cfRule type="cellIs" dxfId="25" priority="101" operator="between">
      <formula>1</formula>
      <formula>2.99</formula>
    </cfRule>
    <cfRule type="cellIs" dxfId="24" priority="102" operator="between">
      <formula>3</formula>
      <formula>3.599</formula>
    </cfRule>
  </conditionalFormatting>
  <conditionalFormatting sqref="R11:T44">
    <cfRule type="cellIs" dxfId="23" priority="107" operator="between">
      <formula>1</formula>
      <formula>2.9999</formula>
    </cfRule>
  </conditionalFormatting>
  <conditionalFormatting sqref="V11:V44">
    <cfRule type="cellIs" dxfId="22" priority="88" operator="between">
      <formula>4.3</formula>
      <formula>5</formula>
    </cfRule>
    <cfRule type="cellIs" dxfId="21" priority="89" operator="between">
      <formula>3.6</formula>
      <formula>4.29999</formula>
    </cfRule>
    <cfRule type="cellIs" dxfId="20" priority="90" operator="between">
      <formula>3</formula>
      <formula>3.5999</formula>
    </cfRule>
    <cfRule type="cellIs" dxfId="19" priority="106" operator="between">
      <formula>1</formula>
      <formula>2.9999</formula>
    </cfRule>
  </conditionalFormatting>
  <conditionalFormatting sqref="X11:X44">
    <cfRule type="cellIs" dxfId="18" priority="84" operator="between">
      <formula>4.3</formula>
      <formula>5</formula>
    </cfRule>
    <cfRule type="cellIs" dxfId="17" priority="85" operator="between">
      <formula>3.6</formula>
      <formula>4.29999</formula>
    </cfRule>
    <cfRule type="cellIs" dxfId="16" priority="86" operator="between">
      <formula>3</formula>
      <formula>3.5999</formula>
    </cfRule>
    <cfRule type="cellIs" dxfId="15" priority="87" operator="between">
      <formula>1</formula>
      <formula>2.9999</formula>
    </cfRule>
  </conditionalFormatting>
  <conditionalFormatting sqref="Y10:Y44">
    <cfRule type="cellIs" dxfId="14" priority="105" operator="lessThan">
      <formula>30</formula>
    </cfRule>
  </conditionalFormatting>
  <pageMargins left="0.25" right="0.25" top="0.75" bottom="0.75" header="0.3" footer="0.3"/>
  <pageSetup paperSize="9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F1379-69DA-4A49-B527-0096DA5F9147}">
  <dimension ref="A1:Y44"/>
  <sheetViews>
    <sheetView tabSelected="1" topLeftCell="A6" zoomScale="145" zoomScaleNormal="145" workbookViewId="0">
      <selection activeCell="S7" sqref="S7"/>
    </sheetView>
  </sheetViews>
  <sheetFormatPr baseColWidth="10" defaultColWidth="11.42578125" defaultRowHeight="15" x14ac:dyDescent="0.25"/>
  <cols>
    <col min="1" max="1" width="3.42578125" style="1" bestFit="1" customWidth="1"/>
    <col min="2" max="2" width="38.5703125" style="1" customWidth="1"/>
    <col min="3" max="3" width="7.28515625" style="1" customWidth="1"/>
    <col min="4" max="4" width="5.28515625" style="1" customWidth="1"/>
    <col min="5" max="5" width="5.42578125" style="1" customWidth="1"/>
    <col min="6" max="6" width="4.85546875" style="1" customWidth="1"/>
    <col min="7" max="9" width="4.5703125" style="1" customWidth="1"/>
    <col min="10" max="10" width="5.42578125" style="1" customWidth="1"/>
    <col min="11" max="11" width="5.5703125" style="1" customWidth="1"/>
    <col min="12" max="12" width="4.5703125" style="1" customWidth="1"/>
    <col min="13" max="13" width="6" style="1" customWidth="1"/>
    <col min="14" max="14" width="4.5703125" style="1" customWidth="1"/>
    <col min="15" max="15" width="5.7109375" style="1" customWidth="1"/>
    <col min="16" max="16" width="4.5703125" style="1" customWidth="1"/>
    <col min="17" max="17" width="5.5703125" style="1" customWidth="1"/>
    <col min="18" max="20" width="4.85546875" style="1" customWidth="1"/>
    <col min="21" max="21" width="9.42578125" style="1" customWidth="1"/>
    <col min="22" max="22" width="7.28515625" style="1" customWidth="1"/>
    <col min="23" max="24" width="4.5703125" style="1" customWidth="1"/>
    <col min="25" max="25" width="2.42578125" style="1" customWidth="1"/>
  </cols>
  <sheetData>
    <row r="1" spans="1:25" ht="15.75" x14ac:dyDescent="0.25">
      <c r="B1" s="2" t="s">
        <v>0</v>
      </c>
    </row>
    <row r="2" spans="1:25" x14ac:dyDescent="0.25">
      <c r="C2" s="58" t="s">
        <v>1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</row>
    <row r="3" spans="1:25" x14ac:dyDescent="0.25">
      <c r="C3" s="58" t="s">
        <v>2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</row>
    <row r="4" spans="1:25" x14ac:dyDescent="0.25">
      <c r="C4" s="58" t="s">
        <v>25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3"/>
      <c r="X4" s="3"/>
      <c r="Y4" s="3"/>
    </row>
    <row r="5" spans="1:25" ht="15" customHeight="1" x14ac:dyDescent="0.25">
      <c r="C5" s="59" t="s">
        <v>3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</row>
    <row r="6" spans="1:25" x14ac:dyDescent="0.25">
      <c r="C6" s="58" t="s">
        <v>4</v>
      </c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</row>
    <row r="7" spans="1:25" ht="16.5" thickBot="1" x14ac:dyDescent="0.3">
      <c r="C7" s="53" t="s">
        <v>5</v>
      </c>
      <c r="D7" s="53"/>
      <c r="E7" s="54" t="s">
        <v>47</v>
      </c>
      <c r="F7" s="55"/>
      <c r="G7" s="56"/>
      <c r="I7" s="4"/>
      <c r="K7" s="57" t="s">
        <v>6</v>
      </c>
      <c r="L7" s="57"/>
      <c r="M7" s="5">
        <v>3</v>
      </c>
      <c r="O7" s="4"/>
      <c r="Q7" s="57" t="s">
        <v>7</v>
      </c>
      <c r="R7" s="57"/>
      <c r="S7" s="19" t="s">
        <v>37</v>
      </c>
    </row>
    <row r="8" spans="1:25" ht="24" customHeight="1" x14ac:dyDescent="0.25">
      <c r="A8" s="40" t="s">
        <v>8</v>
      </c>
      <c r="B8" s="43" t="s">
        <v>9</v>
      </c>
      <c r="C8" s="45" t="s">
        <v>10</v>
      </c>
      <c r="D8" s="46"/>
      <c r="E8" s="46"/>
      <c r="F8" s="46"/>
      <c r="G8" s="46"/>
      <c r="H8" s="46"/>
      <c r="I8" s="46"/>
      <c r="J8" s="47"/>
      <c r="K8" s="48" t="s">
        <v>11</v>
      </c>
      <c r="L8" s="49"/>
      <c r="M8" s="49"/>
      <c r="N8" s="49"/>
      <c r="O8" s="49"/>
      <c r="P8" s="49"/>
      <c r="Q8" s="50"/>
      <c r="R8" s="51" t="s">
        <v>12</v>
      </c>
      <c r="S8" s="52"/>
      <c r="T8" s="52"/>
      <c r="U8" s="52"/>
      <c r="V8" s="30" t="s">
        <v>13</v>
      </c>
      <c r="W8" s="21" t="s">
        <v>14</v>
      </c>
      <c r="X8" s="23" t="s">
        <v>15</v>
      </c>
      <c r="Y8" s="6"/>
    </row>
    <row r="9" spans="1:25" ht="14.25" customHeight="1" x14ac:dyDescent="0.25">
      <c r="A9" s="41"/>
      <c r="B9" s="44"/>
      <c r="C9" s="26" t="s">
        <v>48</v>
      </c>
      <c r="D9" s="26" t="s">
        <v>49</v>
      </c>
      <c r="E9" s="26"/>
      <c r="F9" s="26"/>
      <c r="G9" s="26"/>
      <c r="H9" s="26"/>
      <c r="I9" s="26"/>
      <c r="J9" s="28">
        <v>0.55000000000000004</v>
      </c>
      <c r="K9" s="34" t="s">
        <v>19</v>
      </c>
      <c r="L9" s="34" t="s">
        <v>21</v>
      </c>
      <c r="M9" s="34" t="s">
        <v>22</v>
      </c>
      <c r="N9" s="34" t="s">
        <v>20</v>
      </c>
      <c r="O9" s="34" t="s">
        <v>23</v>
      </c>
      <c r="P9" s="34" t="s">
        <v>24</v>
      </c>
      <c r="Q9" s="36">
        <v>0.3</v>
      </c>
      <c r="R9" s="38" t="s">
        <v>16</v>
      </c>
      <c r="S9" s="38" t="s">
        <v>17</v>
      </c>
      <c r="T9" s="38" t="s">
        <v>18</v>
      </c>
      <c r="U9" s="32">
        <v>0.15</v>
      </c>
      <c r="V9" s="31"/>
      <c r="W9" s="22"/>
      <c r="X9" s="24"/>
      <c r="Y9" s="6"/>
    </row>
    <row r="10" spans="1:25" ht="72" customHeight="1" x14ac:dyDescent="0.25">
      <c r="A10" s="42"/>
      <c r="B10" s="7" t="s">
        <v>26</v>
      </c>
      <c r="C10" s="27"/>
      <c r="D10" s="27"/>
      <c r="E10" s="27"/>
      <c r="F10" s="27"/>
      <c r="G10" s="27"/>
      <c r="H10" s="27"/>
      <c r="I10" s="27"/>
      <c r="J10" s="29"/>
      <c r="K10" s="35"/>
      <c r="L10" s="35"/>
      <c r="M10" s="35"/>
      <c r="N10" s="35"/>
      <c r="O10" s="35"/>
      <c r="P10" s="35"/>
      <c r="Q10" s="37"/>
      <c r="R10" s="39"/>
      <c r="S10" s="39"/>
      <c r="T10" s="39"/>
      <c r="U10" s="33"/>
      <c r="V10" s="31"/>
      <c r="W10" s="22"/>
      <c r="X10" s="25"/>
      <c r="Y10" s="4"/>
    </row>
    <row r="11" spans="1:25" x14ac:dyDescent="0.25">
      <c r="A11" s="8">
        <v>1</v>
      </c>
      <c r="B11" s="16" t="s">
        <v>27</v>
      </c>
      <c r="C11" s="16"/>
      <c r="D11" s="18"/>
      <c r="E11" s="5"/>
      <c r="F11" s="5"/>
      <c r="G11" s="5"/>
      <c r="H11" s="5"/>
      <c r="I11" s="5"/>
      <c r="J11" s="10" t="e">
        <f t="shared" ref="J11:J44" si="0">AVERAGE(C11:I11)*$J$9</f>
        <v>#DIV/0!</v>
      </c>
      <c r="K11" s="5">
        <v>3</v>
      </c>
      <c r="L11" s="5"/>
      <c r="M11" s="5"/>
      <c r="N11" s="5"/>
      <c r="O11" s="5"/>
      <c r="P11" s="5"/>
      <c r="Q11" s="11">
        <f t="shared" ref="Q11:Q44" si="1">AVERAGE(K11:P11)*$Q$9</f>
        <v>0.89999999999999991</v>
      </c>
      <c r="R11" s="5">
        <v>3</v>
      </c>
      <c r="S11" s="5"/>
      <c r="T11" s="5"/>
      <c r="U11" s="12">
        <f t="shared" ref="U11:U44" si="2">AVERAGE(R11:T11)*$U$9</f>
        <v>0.44999999999999996</v>
      </c>
      <c r="V11" s="13" t="e">
        <f t="shared" ref="V11:V44" si="3">J11+Q11+U11</f>
        <v>#DIV/0!</v>
      </c>
      <c r="W11" s="14"/>
      <c r="X11" s="15" t="e">
        <f t="shared" ref="X11:X44" si="4">IF(W11&lt;V11,V11,IF(W11&gt;=3,W11))</f>
        <v>#DIV/0!</v>
      </c>
      <c r="Y11" s="4"/>
    </row>
    <row r="12" spans="1:25" x14ac:dyDescent="0.25">
      <c r="A12" s="8">
        <v>2</v>
      </c>
      <c r="B12" s="16" t="s">
        <v>28</v>
      </c>
      <c r="C12" s="16"/>
      <c r="D12" s="18"/>
      <c r="E12" s="5"/>
      <c r="F12" s="5"/>
      <c r="G12" s="5"/>
      <c r="H12" s="5"/>
      <c r="I12" s="5"/>
      <c r="J12" s="10" t="e">
        <f t="shared" si="0"/>
        <v>#DIV/0!</v>
      </c>
      <c r="K12" s="5">
        <v>3</v>
      </c>
      <c r="L12" s="5"/>
      <c r="M12" s="5"/>
      <c r="N12" s="5"/>
      <c r="O12" s="5"/>
      <c r="P12" s="5"/>
      <c r="Q12" s="11">
        <f t="shared" si="1"/>
        <v>0.89999999999999991</v>
      </c>
      <c r="R12" s="5">
        <v>3</v>
      </c>
      <c r="S12" s="5"/>
      <c r="T12" s="5"/>
      <c r="U12" s="12">
        <f t="shared" si="2"/>
        <v>0.44999999999999996</v>
      </c>
      <c r="V12" s="13" t="e">
        <f t="shared" si="3"/>
        <v>#DIV/0!</v>
      </c>
      <c r="W12" s="14"/>
      <c r="X12" s="15" t="e">
        <f t="shared" si="4"/>
        <v>#DIV/0!</v>
      </c>
      <c r="Y12" s="4"/>
    </row>
    <row r="13" spans="1:25" x14ac:dyDescent="0.25">
      <c r="A13" s="8">
        <v>3</v>
      </c>
      <c r="B13" s="16" t="s">
        <v>29</v>
      </c>
      <c r="C13" s="16"/>
      <c r="D13" s="18"/>
      <c r="E13" s="5"/>
      <c r="F13" s="5"/>
      <c r="G13" s="5"/>
      <c r="H13" s="5"/>
      <c r="I13" s="5"/>
      <c r="J13" s="10" t="e">
        <f t="shared" si="0"/>
        <v>#DIV/0!</v>
      </c>
      <c r="K13" s="5">
        <v>3</v>
      </c>
      <c r="L13" s="5"/>
      <c r="M13" s="5"/>
      <c r="N13" s="5"/>
      <c r="O13" s="5"/>
      <c r="P13" s="5"/>
      <c r="Q13" s="11">
        <f t="shared" si="1"/>
        <v>0.89999999999999991</v>
      </c>
      <c r="R13" s="5">
        <v>3</v>
      </c>
      <c r="S13" s="5"/>
      <c r="T13" s="5"/>
      <c r="U13" s="12">
        <f t="shared" si="2"/>
        <v>0.44999999999999996</v>
      </c>
      <c r="V13" s="13" t="e">
        <f t="shared" si="3"/>
        <v>#DIV/0!</v>
      </c>
      <c r="W13" s="14"/>
      <c r="X13" s="15" t="e">
        <f t="shared" si="4"/>
        <v>#DIV/0!</v>
      </c>
      <c r="Y13" s="4"/>
    </row>
    <row r="14" spans="1:25" x14ac:dyDescent="0.25">
      <c r="A14" s="8">
        <v>4</v>
      </c>
      <c r="B14" s="16" t="s">
        <v>30</v>
      </c>
      <c r="C14" s="17"/>
      <c r="D14" s="17"/>
      <c r="E14" s="5"/>
      <c r="F14" s="5"/>
      <c r="G14" s="5"/>
      <c r="H14" s="5"/>
      <c r="I14" s="5"/>
      <c r="J14" s="10" t="e">
        <f t="shared" si="0"/>
        <v>#DIV/0!</v>
      </c>
      <c r="K14" s="5">
        <v>3</v>
      </c>
      <c r="L14" s="5"/>
      <c r="M14" s="5"/>
      <c r="N14" s="5"/>
      <c r="O14" s="5"/>
      <c r="P14" s="5"/>
      <c r="Q14" s="11">
        <f t="shared" si="1"/>
        <v>0.89999999999999991</v>
      </c>
      <c r="R14" s="5">
        <v>3</v>
      </c>
      <c r="S14" s="5"/>
      <c r="T14" s="5"/>
      <c r="U14" s="12">
        <f t="shared" si="2"/>
        <v>0.44999999999999996</v>
      </c>
      <c r="V14" s="13" t="e">
        <f t="shared" si="3"/>
        <v>#DIV/0!</v>
      </c>
      <c r="W14" s="14"/>
      <c r="X14" s="15" t="e">
        <f t="shared" si="4"/>
        <v>#DIV/0!</v>
      </c>
      <c r="Y14" s="4"/>
    </row>
    <row r="15" spans="1:25" x14ac:dyDescent="0.25">
      <c r="A15" s="8">
        <v>5</v>
      </c>
      <c r="B15" s="16" t="s">
        <v>31</v>
      </c>
      <c r="C15" s="16"/>
      <c r="D15" s="18"/>
      <c r="E15" s="5"/>
      <c r="F15" s="5"/>
      <c r="G15" s="5"/>
      <c r="H15" s="5"/>
      <c r="I15" s="5"/>
      <c r="J15" s="10" t="e">
        <f t="shared" si="0"/>
        <v>#DIV/0!</v>
      </c>
      <c r="K15" s="5">
        <v>3</v>
      </c>
      <c r="L15" s="5"/>
      <c r="M15" s="5"/>
      <c r="N15" s="5"/>
      <c r="O15" s="5"/>
      <c r="P15" s="5"/>
      <c r="Q15" s="11">
        <f t="shared" si="1"/>
        <v>0.89999999999999991</v>
      </c>
      <c r="R15" s="5">
        <v>3</v>
      </c>
      <c r="S15" s="5"/>
      <c r="T15" s="5"/>
      <c r="U15" s="12">
        <f t="shared" si="2"/>
        <v>0.44999999999999996</v>
      </c>
      <c r="V15" s="13" t="e">
        <f t="shared" si="3"/>
        <v>#DIV/0!</v>
      </c>
      <c r="W15" s="14"/>
      <c r="X15" s="15" t="e">
        <f t="shared" si="4"/>
        <v>#DIV/0!</v>
      </c>
      <c r="Y15" s="4"/>
    </row>
    <row r="16" spans="1:25" x14ac:dyDescent="0.25">
      <c r="A16" s="8">
        <v>6</v>
      </c>
      <c r="B16" s="16" t="s">
        <v>32</v>
      </c>
      <c r="C16" s="16"/>
      <c r="D16" s="18"/>
      <c r="E16" s="5"/>
      <c r="F16" s="5"/>
      <c r="G16" s="5"/>
      <c r="H16" s="5"/>
      <c r="I16" s="5"/>
      <c r="J16" s="10" t="e">
        <f t="shared" si="0"/>
        <v>#DIV/0!</v>
      </c>
      <c r="K16" s="5">
        <v>3</v>
      </c>
      <c r="L16" s="5"/>
      <c r="M16" s="5"/>
      <c r="N16" s="5"/>
      <c r="O16" s="5"/>
      <c r="P16" s="5"/>
      <c r="Q16" s="11">
        <f t="shared" si="1"/>
        <v>0.89999999999999991</v>
      </c>
      <c r="R16" s="5">
        <v>3</v>
      </c>
      <c r="S16" s="5"/>
      <c r="T16" s="5"/>
      <c r="U16" s="12">
        <f t="shared" si="2"/>
        <v>0.44999999999999996</v>
      </c>
      <c r="V16" s="13" t="e">
        <f t="shared" si="3"/>
        <v>#DIV/0!</v>
      </c>
      <c r="W16" s="14"/>
      <c r="X16" s="15" t="e">
        <f t="shared" si="4"/>
        <v>#DIV/0!</v>
      </c>
      <c r="Y16" s="4"/>
    </row>
    <row r="17" spans="1:25" x14ac:dyDescent="0.25">
      <c r="A17" s="8">
        <v>8</v>
      </c>
      <c r="B17" s="16" t="s">
        <v>33</v>
      </c>
      <c r="C17" s="16"/>
      <c r="D17" s="18"/>
      <c r="E17" s="5"/>
      <c r="F17" s="5"/>
      <c r="G17" s="5"/>
      <c r="H17" s="5"/>
      <c r="I17" s="5"/>
      <c r="J17" s="10" t="e">
        <f t="shared" si="0"/>
        <v>#DIV/0!</v>
      </c>
      <c r="K17" s="5">
        <v>3</v>
      </c>
      <c r="L17" s="5"/>
      <c r="M17" s="5"/>
      <c r="N17" s="5"/>
      <c r="O17" s="5"/>
      <c r="P17" s="5"/>
      <c r="Q17" s="11">
        <f t="shared" si="1"/>
        <v>0.89999999999999991</v>
      </c>
      <c r="R17" s="5">
        <v>3</v>
      </c>
      <c r="S17" s="5"/>
      <c r="T17" s="5"/>
      <c r="U17" s="12">
        <f t="shared" si="2"/>
        <v>0.44999999999999996</v>
      </c>
      <c r="V17" s="13" t="e">
        <f t="shared" si="3"/>
        <v>#DIV/0!</v>
      </c>
      <c r="W17" s="14"/>
      <c r="X17" s="15" t="e">
        <f t="shared" si="4"/>
        <v>#DIV/0!</v>
      </c>
      <c r="Y17" s="4"/>
    </row>
    <row r="18" spans="1:25" x14ac:dyDescent="0.25">
      <c r="A18" s="8">
        <v>9</v>
      </c>
      <c r="B18" s="16" t="s">
        <v>34</v>
      </c>
      <c r="C18" s="16"/>
      <c r="D18" s="16"/>
      <c r="E18" s="5"/>
      <c r="F18" s="5"/>
      <c r="G18" s="5"/>
      <c r="H18" s="5"/>
      <c r="I18" s="5"/>
      <c r="J18" s="10" t="e">
        <f t="shared" si="0"/>
        <v>#DIV/0!</v>
      </c>
      <c r="K18" s="5">
        <v>3</v>
      </c>
      <c r="L18" s="5"/>
      <c r="M18" s="5"/>
      <c r="N18" s="5"/>
      <c r="O18" s="5"/>
      <c r="P18" s="5"/>
      <c r="Q18" s="11">
        <f t="shared" si="1"/>
        <v>0.89999999999999991</v>
      </c>
      <c r="R18" s="5">
        <v>3</v>
      </c>
      <c r="S18" s="5"/>
      <c r="T18" s="5"/>
      <c r="U18" s="12">
        <f t="shared" si="2"/>
        <v>0.44999999999999996</v>
      </c>
      <c r="V18" s="13" t="e">
        <f t="shared" si="3"/>
        <v>#DIV/0!</v>
      </c>
      <c r="W18" s="14"/>
      <c r="X18" s="15" t="e">
        <f t="shared" si="4"/>
        <v>#DIV/0!</v>
      </c>
      <c r="Y18" s="4"/>
    </row>
    <row r="19" spans="1:25" x14ac:dyDescent="0.25">
      <c r="A19" s="8">
        <v>10</v>
      </c>
      <c r="B19" s="16" t="s">
        <v>50</v>
      </c>
      <c r="C19" s="5"/>
      <c r="D19" s="5"/>
      <c r="E19" s="5"/>
      <c r="F19" s="5"/>
      <c r="G19" s="5"/>
      <c r="H19" s="5"/>
      <c r="I19" s="5"/>
      <c r="J19" s="10" t="e">
        <f t="shared" si="0"/>
        <v>#DIV/0!</v>
      </c>
      <c r="K19" s="5">
        <v>3</v>
      </c>
      <c r="L19" s="5"/>
      <c r="M19" s="5"/>
      <c r="N19" s="5"/>
      <c r="O19" s="5"/>
      <c r="P19" s="5"/>
      <c r="Q19" s="11">
        <f t="shared" si="1"/>
        <v>0.89999999999999991</v>
      </c>
      <c r="R19" s="5">
        <v>3</v>
      </c>
      <c r="S19" s="5"/>
      <c r="T19" s="5"/>
      <c r="U19" s="12">
        <f t="shared" si="2"/>
        <v>0.44999999999999996</v>
      </c>
      <c r="V19" s="13" t="e">
        <f t="shared" si="3"/>
        <v>#DIV/0!</v>
      </c>
      <c r="W19" s="14"/>
      <c r="X19" s="15" t="e">
        <f t="shared" si="4"/>
        <v>#DIV/0!</v>
      </c>
      <c r="Y19" s="4"/>
    </row>
    <row r="20" spans="1:25" x14ac:dyDescent="0.25">
      <c r="A20" s="8">
        <v>11</v>
      </c>
      <c r="B20" s="16" t="s">
        <v>36</v>
      </c>
      <c r="C20" s="5"/>
      <c r="D20" s="5"/>
      <c r="E20" s="5"/>
      <c r="F20" s="5"/>
      <c r="G20" s="5"/>
      <c r="H20" s="5"/>
      <c r="I20" s="5"/>
      <c r="J20" s="10" t="e">
        <f t="shared" si="0"/>
        <v>#DIV/0!</v>
      </c>
      <c r="K20" s="5">
        <v>3</v>
      </c>
      <c r="L20" s="5"/>
      <c r="M20" s="5"/>
      <c r="N20" s="5"/>
      <c r="O20" s="5"/>
      <c r="P20" s="5"/>
      <c r="Q20" s="11">
        <f t="shared" si="1"/>
        <v>0.89999999999999991</v>
      </c>
      <c r="R20" s="5">
        <v>3</v>
      </c>
      <c r="S20" s="5"/>
      <c r="T20" s="5"/>
      <c r="U20" s="12">
        <f t="shared" si="2"/>
        <v>0.44999999999999996</v>
      </c>
      <c r="V20" s="13" t="e">
        <f t="shared" si="3"/>
        <v>#DIV/0!</v>
      </c>
      <c r="W20" s="14"/>
      <c r="X20" s="15" t="e">
        <f t="shared" si="4"/>
        <v>#DIV/0!</v>
      </c>
      <c r="Y20" s="4"/>
    </row>
    <row r="21" spans="1:25" x14ac:dyDescent="0.25">
      <c r="A21" s="8">
        <v>12</v>
      </c>
      <c r="B21" s="20" t="s">
        <v>38</v>
      </c>
      <c r="C21" s="5"/>
      <c r="D21" s="5"/>
      <c r="E21" s="5"/>
      <c r="F21" s="5"/>
      <c r="G21" s="5"/>
      <c r="H21" s="5"/>
      <c r="I21" s="5"/>
      <c r="J21" s="10" t="e">
        <f t="shared" si="0"/>
        <v>#DIV/0!</v>
      </c>
      <c r="K21" s="5">
        <v>0</v>
      </c>
      <c r="L21" s="5"/>
      <c r="M21" s="5"/>
      <c r="N21" s="5"/>
      <c r="O21" s="5"/>
      <c r="P21" s="5"/>
      <c r="Q21" s="11">
        <f t="shared" si="1"/>
        <v>0</v>
      </c>
      <c r="R21" s="5">
        <v>0</v>
      </c>
      <c r="S21" s="5"/>
      <c r="T21" s="5"/>
      <c r="U21" s="12">
        <f t="shared" si="2"/>
        <v>0</v>
      </c>
      <c r="V21" s="13" t="e">
        <f t="shared" si="3"/>
        <v>#DIV/0!</v>
      </c>
      <c r="W21" s="14"/>
      <c r="X21" s="15" t="e">
        <f t="shared" si="4"/>
        <v>#DIV/0!</v>
      </c>
      <c r="Y21" s="4"/>
    </row>
    <row r="22" spans="1:25" x14ac:dyDescent="0.25">
      <c r="A22" s="8">
        <v>13</v>
      </c>
      <c r="B22" s="16" t="s">
        <v>39</v>
      </c>
      <c r="C22" s="5"/>
      <c r="E22" s="5"/>
      <c r="F22" s="5"/>
      <c r="G22" s="5"/>
      <c r="H22" s="5"/>
      <c r="I22" s="5"/>
      <c r="J22" s="10" t="e">
        <f>AVERAGE(C22:I22)*$J$9</f>
        <v>#DIV/0!</v>
      </c>
      <c r="K22" s="5">
        <v>5</v>
      </c>
      <c r="L22" s="5"/>
      <c r="M22" s="5"/>
      <c r="N22" s="5"/>
      <c r="O22" s="5"/>
      <c r="P22" s="5"/>
      <c r="Q22" s="11">
        <f t="shared" si="1"/>
        <v>1.5</v>
      </c>
      <c r="R22" s="5">
        <v>4</v>
      </c>
      <c r="S22" s="5"/>
      <c r="T22" s="5"/>
      <c r="U22" s="12">
        <f t="shared" si="2"/>
        <v>0.6</v>
      </c>
      <c r="V22" s="13" t="e">
        <f t="shared" si="3"/>
        <v>#DIV/0!</v>
      </c>
      <c r="W22" s="14"/>
      <c r="X22" s="15" t="e">
        <f t="shared" si="4"/>
        <v>#DIV/0!</v>
      </c>
      <c r="Y22" s="4"/>
    </row>
    <row r="23" spans="1:25" x14ac:dyDescent="0.25">
      <c r="A23" s="8">
        <v>14</v>
      </c>
      <c r="B23" s="16" t="s">
        <v>40</v>
      </c>
      <c r="C23" s="5"/>
      <c r="D23" s="5"/>
      <c r="E23" s="5"/>
      <c r="F23" s="5"/>
      <c r="G23" s="5"/>
      <c r="H23" s="5"/>
      <c r="I23" s="5"/>
      <c r="J23" s="10" t="e">
        <f t="shared" si="0"/>
        <v>#DIV/0!</v>
      </c>
      <c r="K23" s="5">
        <v>4.5</v>
      </c>
      <c r="L23" s="5"/>
      <c r="M23" s="5"/>
      <c r="N23" s="5"/>
      <c r="O23" s="5"/>
      <c r="P23" s="5"/>
      <c r="Q23" s="11">
        <f t="shared" si="1"/>
        <v>1.3499999999999999</v>
      </c>
      <c r="R23" s="5">
        <v>4</v>
      </c>
      <c r="S23" s="5"/>
      <c r="T23" s="5"/>
      <c r="U23" s="12">
        <f t="shared" si="2"/>
        <v>0.6</v>
      </c>
      <c r="V23" s="13" t="e">
        <f t="shared" si="3"/>
        <v>#DIV/0!</v>
      </c>
      <c r="W23" s="14"/>
      <c r="X23" s="15" t="e">
        <f t="shared" si="4"/>
        <v>#DIV/0!</v>
      </c>
      <c r="Y23" s="4"/>
    </row>
    <row r="24" spans="1:25" x14ac:dyDescent="0.25">
      <c r="A24" s="8">
        <v>15</v>
      </c>
      <c r="B24" s="16" t="s">
        <v>41</v>
      </c>
      <c r="C24" s="5"/>
      <c r="D24" s="5"/>
      <c r="E24" s="5"/>
      <c r="F24" s="5"/>
      <c r="G24" s="5"/>
      <c r="H24" s="5"/>
      <c r="I24" s="5"/>
      <c r="J24" s="10" t="e">
        <f t="shared" si="0"/>
        <v>#DIV/0!</v>
      </c>
      <c r="K24" s="5">
        <v>3</v>
      </c>
      <c r="L24" s="5"/>
      <c r="M24" s="5"/>
      <c r="N24" s="5"/>
      <c r="O24" s="5"/>
      <c r="P24" s="5"/>
      <c r="Q24" s="11">
        <f t="shared" si="1"/>
        <v>0.89999999999999991</v>
      </c>
      <c r="R24" s="5">
        <v>3</v>
      </c>
      <c r="S24" s="5"/>
      <c r="T24" s="5"/>
      <c r="U24" s="12">
        <f t="shared" si="2"/>
        <v>0.44999999999999996</v>
      </c>
      <c r="V24" s="13" t="e">
        <f t="shared" si="3"/>
        <v>#DIV/0!</v>
      </c>
      <c r="W24" s="14"/>
      <c r="X24" s="15" t="e">
        <f t="shared" si="4"/>
        <v>#DIV/0!</v>
      </c>
      <c r="Y24" s="4"/>
    </row>
    <row r="25" spans="1:25" x14ac:dyDescent="0.25">
      <c r="A25" s="8">
        <v>16</v>
      </c>
      <c r="B25" s="16" t="s">
        <v>42</v>
      </c>
      <c r="C25" s="5"/>
      <c r="D25" s="5"/>
      <c r="E25" s="5"/>
      <c r="F25" s="5"/>
      <c r="G25" s="5"/>
      <c r="H25" s="5"/>
      <c r="I25" s="5"/>
      <c r="J25" s="10" t="e">
        <f t="shared" si="0"/>
        <v>#DIV/0!</v>
      </c>
      <c r="K25" s="5">
        <v>3</v>
      </c>
      <c r="L25" s="5"/>
      <c r="M25" s="5"/>
      <c r="N25" s="5"/>
      <c r="O25" s="5"/>
      <c r="P25" s="5"/>
      <c r="Q25" s="11">
        <f t="shared" si="1"/>
        <v>0.89999999999999991</v>
      </c>
      <c r="R25" s="5">
        <v>3</v>
      </c>
      <c r="S25" s="5"/>
      <c r="T25" s="5"/>
      <c r="U25" s="12">
        <f t="shared" si="2"/>
        <v>0.44999999999999996</v>
      </c>
      <c r="V25" s="13" t="e">
        <f t="shared" si="3"/>
        <v>#DIV/0!</v>
      </c>
      <c r="W25" s="14"/>
      <c r="X25" s="15" t="e">
        <f t="shared" si="4"/>
        <v>#DIV/0!</v>
      </c>
      <c r="Y25" s="4"/>
    </row>
    <row r="26" spans="1:25" x14ac:dyDescent="0.25">
      <c r="A26" s="8">
        <v>17</v>
      </c>
      <c r="B26" s="16" t="s">
        <v>43</v>
      </c>
      <c r="C26" s="5"/>
      <c r="D26" s="5"/>
      <c r="E26" s="5"/>
      <c r="F26" s="5"/>
      <c r="G26" s="5"/>
      <c r="H26" s="5"/>
      <c r="I26" s="5"/>
      <c r="J26" s="10" t="e">
        <f t="shared" si="0"/>
        <v>#DIV/0!</v>
      </c>
      <c r="K26" s="5">
        <v>3</v>
      </c>
      <c r="L26" s="5"/>
      <c r="M26" s="5"/>
      <c r="N26" s="5"/>
      <c r="O26" s="5"/>
      <c r="P26" s="5"/>
      <c r="Q26" s="11">
        <f t="shared" si="1"/>
        <v>0.89999999999999991</v>
      </c>
      <c r="R26" s="5">
        <v>3</v>
      </c>
      <c r="S26" s="5"/>
      <c r="T26" s="5"/>
      <c r="U26" s="12">
        <f t="shared" si="2"/>
        <v>0.44999999999999996</v>
      </c>
      <c r="V26" s="13" t="e">
        <f t="shared" si="3"/>
        <v>#DIV/0!</v>
      </c>
      <c r="W26" s="14"/>
      <c r="X26" s="15" t="e">
        <f t="shared" si="4"/>
        <v>#DIV/0!</v>
      </c>
      <c r="Y26" s="4"/>
    </row>
    <row r="27" spans="1:25" x14ac:dyDescent="0.25">
      <c r="A27" s="8">
        <v>18</v>
      </c>
      <c r="B27" s="16" t="s">
        <v>44</v>
      </c>
      <c r="C27" s="5"/>
      <c r="D27" s="5"/>
      <c r="E27" s="5"/>
      <c r="F27" s="5"/>
      <c r="G27" s="5"/>
      <c r="H27" s="5"/>
      <c r="I27" s="5"/>
      <c r="J27" s="10" t="e">
        <f t="shared" si="0"/>
        <v>#DIV/0!</v>
      </c>
      <c r="K27" s="5">
        <v>3</v>
      </c>
      <c r="L27" s="5"/>
      <c r="M27" s="5"/>
      <c r="N27" s="5"/>
      <c r="O27" s="5"/>
      <c r="P27" s="5"/>
      <c r="Q27" s="11">
        <f t="shared" si="1"/>
        <v>0.89999999999999991</v>
      </c>
      <c r="R27" s="5">
        <v>3</v>
      </c>
      <c r="S27" s="5"/>
      <c r="T27" s="5"/>
      <c r="U27" s="12">
        <f t="shared" si="2"/>
        <v>0.44999999999999996</v>
      </c>
      <c r="V27" s="13" t="e">
        <f t="shared" si="3"/>
        <v>#DIV/0!</v>
      </c>
      <c r="W27" s="14"/>
      <c r="X27" s="15" t="e">
        <f t="shared" si="4"/>
        <v>#DIV/0!</v>
      </c>
      <c r="Y27" s="4"/>
    </row>
    <row r="28" spans="1:25" x14ac:dyDescent="0.25">
      <c r="A28" s="8">
        <v>19</v>
      </c>
      <c r="B28" s="16" t="s">
        <v>45</v>
      </c>
      <c r="C28" s="5"/>
      <c r="E28" s="5"/>
      <c r="F28" s="5"/>
      <c r="G28" s="5">
        <v>5</v>
      </c>
      <c r="H28" s="5"/>
      <c r="I28" s="5"/>
      <c r="J28" s="10">
        <f>AVERAGE(C28:I28)*$J$9</f>
        <v>2.75</v>
      </c>
      <c r="K28" s="5">
        <v>5</v>
      </c>
      <c r="L28" s="5"/>
      <c r="M28" s="5"/>
      <c r="N28" s="5"/>
      <c r="O28" s="5"/>
      <c r="P28" s="5"/>
      <c r="Q28" s="11">
        <f t="shared" si="1"/>
        <v>1.5</v>
      </c>
      <c r="R28" s="5">
        <v>4</v>
      </c>
      <c r="S28" s="5"/>
      <c r="T28" s="5"/>
      <c r="U28" s="12">
        <f t="shared" si="2"/>
        <v>0.6</v>
      </c>
      <c r="V28" s="13">
        <f t="shared" si="3"/>
        <v>4.8499999999999996</v>
      </c>
      <c r="W28" s="14"/>
      <c r="X28" s="15">
        <f t="shared" si="4"/>
        <v>4.8499999999999996</v>
      </c>
      <c r="Y28" s="4"/>
    </row>
    <row r="29" spans="1:25" x14ac:dyDescent="0.25">
      <c r="A29" s="8">
        <v>20</v>
      </c>
      <c r="B29" s="16" t="s">
        <v>46</v>
      </c>
      <c r="C29" s="5"/>
      <c r="D29" s="5"/>
      <c r="E29" s="5"/>
      <c r="F29" s="5"/>
      <c r="G29" s="5"/>
      <c r="H29" s="5"/>
      <c r="I29" s="5"/>
      <c r="J29" s="10" t="e">
        <f t="shared" si="0"/>
        <v>#DIV/0!</v>
      </c>
      <c r="K29" s="5">
        <v>3</v>
      </c>
      <c r="L29" s="5"/>
      <c r="M29" s="5"/>
      <c r="N29" s="5"/>
      <c r="O29" s="5"/>
      <c r="P29" s="5"/>
      <c r="Q29" s="11">
        <f t="shared" si="1"/>
        <v>0.89999999999999991</v>
      </c>
      <c r="R29" s="5">
        <v>3</v>
      </c>
      <c r="S29" s="5"/>
      <c r="T29" s="5"/>
      <c r="U29" s="12">
        <f t="shared" si="2"/>
        <v>0.44999999999999996</v>
      </c>
      <c r="V29" s="13" t="e">
        <f t="shared" si="3"/>
        <v>#DIV/0!</v>
      </c>
      <c r="W29" s="14"/>
      <c r="X29" s="15" t="e">
        <f t="shared" si="4"/>
        <v>#DIV/0!</v>
      </c>
      <c r="Y29" s="4"/>
    </row>
    <row r="30" spans="1:25" x14ac:dyDescent="0.25">
      <c r="A30" s="8">
        <v>21</v>
      </c>
      <c r="B30" s="9"/>
      <c r="C30" s="5"/>
      <c r="D30" s="5"/>
      <c r="E30" s="5"/>
      <c r="F30" s="5"/>
      <c r="G30" s="5"/>
      <c r="H30" s="5"/>
      <c r="I30" s="5"/>
      <c r="J30" s="10" t="e">
        <f t="shared" si="0"/>
        <v>#DIV/0!</v>
      </c>
      <c r="K30" s="5"/>
      <c r="L30" s="5"/>
      <c r="M30" s="5"/>
      <c r="N30" s="5"/>
      <c r="O30" s="5"/>
      <c r="P30" s="5"/>
      <c r="Q30" s="11" t="e">
        <f t="shared" si="1"/>
        <v>#DIV/0!</v>
      </c>
      <c r="R30" s="5"/>
      <c r="S30" s="5"/>
      <c r="T30" s="5"/>
      <c r="U30" s="12" t="e">
        <f t="shared" si="2"/>
        <v>#DIV/0!</v>
      </c>
      <c r="V30" s="13" t="e">
        <f t="shared" si="3"/>
        <v>#DIV/0!</v>
      </c>
      <c r="W30" s="14"/>
      <c r="X30" s="15" t="e">
        <f t="shared" si="4"/>
        <v>#DIV/0!</v>
      </c>
      <c r="Y30" s="4"/>
    </row>
    <row r="31" spans="1:25" x14ac:dyDescent="0.25">
      <c r="A31" s="8">
        <v>22</v>
      </c>
      <c r="B31" s="9"/>
      <c r="C31" s="5"/>
      <c r="D31" s="5"/>
      <c r="E31" s="5"/>
      <c r="F31" s="5"/>
      <c r="G31" s="5"/>
      <c r="H31" s="5"/>
      <c r="I31" s="5"/>
      <c r="J31" s="10" t="e">
        <f t="shared" si="0"/>
        <v>#DIV/0!</v>
      </c>
      <c r="K31" s="5"/>
      <c r="L31" s="5"/>
      <c r="M31" s="5"/>
      <c r="N31" s="5"/>
      <c r="O31" s="5"/>
      <c r="P31" s="5"/>
      <c r="Q31" s="11" t="e">
        <f t="shared" si="1"/>
        <v>#DIV/0!</v>
      </c>
      <c r="R31" s="5"/>
      <c r="S31" s="5"/>
      <c r="T31" s="5"/>
      <c r="U31" s="12" t="e">
        <f t="shared" si="2"/>
        <v>#DIV/0!</v>
      </c>
      <c r="V31" s="13" t="e">
        <f t="shared" si="3"/>
        <v>#DIV/0!</v>
      </c>
      <c r="W31" s="14"/>
      <c r="X31" s="15" t="e">
        <f t="shared" si="4"/>
        <v>#DIV/0!</v>
      </c>
      <c r="Y31" s="4"/>
    </row>
    <row r="32" spans="1:25" x14ac:dyDescent="0.25">
      <c r="A32" s="8">
        <v>23</v>
      </c>
      <c r="B32" s="9"/>
      <c r="C32" s="5"/>
      <c r="D32" s="5"/>
      <c r="E32" s="5"/>
      <c r="F32" s="5"/>
      <c r="G32" s="5"/>
      <c r="H32" s="5"/>
      <c r="I32" s="5"/>
      <c r="J32" s="10" t="e">
        <f t="shared" si="0"/>
        <v>#DIV/0!</v>
      </c>
      <c r="K32" s="5"/>
      <c r="L32" s="5"/>
      <c r="M32" s="5"/>
      <c r="N32" s="5"/>
      <c r="O32" s="5"/>
      <c r="P32" s="5"/>
      <c r="Q32" s="11" t="e">
        <f t="shared" si="1"/>
        <v>#DIV/0!</v>
      </c>
      <c r="R32" s="5"/>
      <c r="S32" s="5"/>
      <c r="T32" s="5"/>
      <c r="U32" s="12" t="e">
        <f t="shared" si="2"/>
        <v>#DIV/0!</v>
      </c>
      <c r="V32" s="13" t="e">
        <f t="shared" si="3"/>
        <v>#DIV/0!</v>
      </c>
      <c r="W32" s="14"/>
      <c r="X32" s="15" t="e">
        <f t="shared" si="4"/>
        <v>#DIV/0!</v>
      </c>
      <c r="Y32" s="4"/>
    </row>
    <row r="33" spans="1:25" x14ac:dyDescent="0.25">
      <c r="A33" s="8">
        <v>24</v>
      </c>
      <c r="B33" s="9"/>
      <c r="C33" s="5"/>
      <c r="D33" s="5"/>
      <c r="E33" s="5"/>
      <c r="F33" s="5"/>
      <c r="G33" s="5"/>
      <c r="H33" s="5"/>
      <c r="I33" s="5"/>
      <c r="J33" s="10" t="e">
        <f t="shared" si="0"/>
        <v>#DIV/0!</v>
      </c>
      <c r="K33" s="5"/>
      <c r="L33" s="5"/>
      <c r="M33" s="5"/>
      <c r="N33" s="5"/>
      <c r="O33" s="5"/>
      <c r="P33" s="5"/>
      <c r="Q33" s="11" t="e">
        <f t="shared" si="1"/>
        <v>#DIV/0!</v>
      </c>
      <c r="R33" s="5"/>
      <c r="S33" s="5"/>
      <c r="T33" s="5"/>
      <c r="U33" s="12" t="e">
        <f t="shared" si="2"/>
        <v>#DIV/0!</v>
      </c>
      <c r="V33" s="13" t="e">
        <f t="shared" si="3"/>
        <v>#DIV/0!</v>
      </c>
      <c r="W33" s="14"/>
      <c r="X33" s="15" t="e">
        <f t="shared" si="4"/>
        <v>#DIV/0!</v>
      </c>
      <c r="Y33" s="4"/>
    </row>
    <row r="34" spans="1:25" x14ac:dyDescent="0.25">
      <c r="A34" s="8">
        <v>25</v>
      </c>
      <c r="B34" s="9"/>
      <c r="C34" s="5"/>
      <c r="D34" s="5"/>
      <c r="E34" s="5"/>
      <c r="F34" s="5"/>
      <c r="G34" s="5"/>
      <c r="H34" s="5"/>
      <c r="I34" s="5"/>
      <c r="J34" s="10" t="e">
        <f t="shared" si="0"/>
        <v>#DIV/0!</v>
      </c>
      <c r="K34" s="5"/>
      <c r="L34" s="5"/>
      <c r="M34" s="5"/>
      <c r="N34" s="5"/>
      <c r="O34" s="5"/>
      <c r="P34" s="5"/>
      <c r="Q34" s="11" t="e">
        <f t="shared" si="1"/>
        <v>#DIV/0!</v>
      </c>
      <c r="R34" s="5"/>
      <c r="S34" s="5"/>
      <c r="T34" s="5"/>
      <c r="U34" s="12" t="e">
        <f t="shared" si="2"/>
        <v>#DIV/0!</v>
      </c>
      <c r="V34" s="13" t="e">
        <f t="shared" si="3"/>
        <v>#DIV/0!</v>
      </c>
      <c r="W34" s="14"/>
      <c r="X34" s="15" t="e">
        <f t="shared" si="4"/>
        <v>#DIV/0!</v>
      </c>
      <c r="Y34" s="4"/>
    </row>
    <row r="35" spans="1:25" x14ac:dyDescent="0.25">
      <c r="A35" s="8">
        <v>26</v>
      </c>
      <c r="B35" s="9"/>
      <c r="C35" s="5"/>
      <c r="D35" s="5"/>
      <c r="E35" s="5"/>
      <c r="F35" s="5"/>
      <c r="G35" s="5"/>
      <c r="H35" s="5"/>
      <c r="I35" s="5"/>
      <c r="J35" s="10" t="e">
        <f t="shared" si="0"/>
        <v>#DIV/0!</v>
      </c>
      <c r="K35" s="5"/>
      <c r="L35" s="5"/>
      <c r="M35" s="5"/>
      <c r="N35" s="5"/>
      <c r="O35" s="5"/>
      <c r="P35" s="5"/>
      <c r="Q35" s="11" t="e">
        <f t="shared" si="1"/>
        <v>#DIV/0!</v>
      </c>
      <c r="R35" s="5"/>
      <c r="S35" s="5"/>
      <c r="T35" s="5"/>
      <c r="U35" s="12" t="e">
        <f t="shared" si="2"/>
        <v>#DIV/0!</v>
      </c>
      <c r="V35" s="13" t="e">
        <f t="shared" si="3"/>
        <v>#DIV/0!</v>
      </c>
      <c r="W35" s="14"/>
      <c r="X35" s="15" t="e">
        <f t="shared" si="4"/>
        <v>#DIV/0!</v>
      </c>
      <c r="Y35" s="4"/>
    </row>
    <row r="36" spans="1:25" x14ac:dyDescent="0.25">
      <c r="A36" s="8">
        <v>27</v>
      </c>
      <c r="B36" s="9"/>
      <c r="C36" s="5"/>
      <c r="D36" s="5"/>
      <c r="E36" s="5"/>
      <c r="F36" s="5"/>
      <c r="G36" s="5"/>
      <c r="H36" s="5"/>
      <c r="I36" s="5"/>
      <c r="J36" s="10" t="e">
        <f t="shared" si="0"/>
        <v>#DIV/0!</v>
      </c>
      <c r="K36" s="5"/>
      <c r="L36" s="5"/>
      <c r="M36" s="5"/>
      <c r="N36" s="5"/>
      <c r="O36" s="5"/>
      <c r="P36" s="5"/>
      <c r="Q36" s="11" t="e">
        <f t="shared" si="1"/>
        <v>#DIV/0!</v>
      </c>
      <c r="R36" s="5"/>
      <c r="S36" s="5"/>
      <c r="T36" s="5"/>
      <c r="U36" s="12" t="e">
        <f t="shared" si="2"/>
        <v>#DIV/0!</v>
      </c>
      <c r="V36" s="13" t="e">
        <f t="shared" si="3"/>
        <v>#DIV/0!</v>
      </c>
      <c r="W36" s="14"/>
      <c r="X36" s="15" t="e">
        <f t="shared" si="4"/>
        <v>#DIV/0!</v>
      </c>
      <c r="Y36" s="4"/>
    </row>
    <row r="37" spans="1:25" x14ac:dyDescent="0.25">
      <c r="A37" s="8">
        <v>28</v>
      </c>
      <c r="B37" s="9"/>
      <c r="C37" s="5"/>
      <c r="D37" s="5"/>
      <c r="E37" s="5"/>
      <c r="F37" s="5"/>
      <c r="G37" s="5"/>
      <c r="H37" s="5"/>
      <c r="I37" s="5"/>
      <c r="J37" s="10" t="e">
        <f t="shared" si="0"/>
        <v>#DIV/0!</v>
      </c>
      <c r="K37" s="5"/>
      <c r="L37" s="5"/>
      <c r="M37" s="5"/>
      <c r="N37" s="5"/>
      <c r="O37" s="5"/>
      <c r="P37" s="5"/>
      <c r="Q37" s="11" t="e">
        <f t="shared" si="1"/>
        <v>#DIV/0!</v>
      </c>
      <c r="R37" s="5"/>
      <c r="S37" s="5"/>
      <c r="T37" s="5"/>
      <c r="U37" s="12" t="e">
        <f t="shared" si="2"/>
        <v>#DIV/0!</v>
      </c>
      <c r="V37" s="13" t="e">
        <f t="shared" si="3"/>
        <v>#DIV/0!</v>
      </c>
      <c r="W37" s="14"/>
      <c r="X37" s="15" t="e">
        <f t="shared" si="4"/>
        <v>#DIV/0!</v>
      </c>
      <c r="Y37" s="4"/>
    </row>
    <row r="38" spans="1:25" x14ac:dyDescent="0.25">
      <c r="A38" s="8">
        <v>29</v>
      </c>
      <c r="B38" s="9"/>
      <c r="C38" s="5"/>
      <c r="D38" s="5"/>
      <c r="E38" s="5"/>
      <c r="F38" s="5"/>
      <c r="G38" s="5"/>
      <c r="H38" s="5"/>
      <c r="I38" s="5"/>
      <c r="J38" s="10" t="e">
        <f t="shared" si="0"/>
        <v>#DIV/0!</v>
      </c>
      <c r="K38" s="5"/>
      <c r="L38" s="5"/>
      <c r="M38" s="5"/>
      <c r="N38" s="5"/>
      <c r="O38" s="5"/>
      <c r="P38" s="5"/>
      <c r="Q38" s="11" t="e">
        <f t="shared" si="1"/>
        <v>#DIV/0!</v>
      </c>
      <c r="R38" s="5"/>
      <c r="S38" s="5"/>
      <c r="T38" s="5"/>
      <c r="U38" s="12" t="e">
        <f t="shared" si="2"/>
        <v>#DIV/0!</v>
      </c>
      <c r="V38" s="13" t="e">
        <f t="shared" si="3"/>
        <v>#DIV/0!</v>
      </c>
      <c r="W38" s="14"/>
      <c r="X38" s="15" t="e">
        <f t="shared" si="4"/>
        <v>#DIV/0!</v>
      </c>
      <c r="Y38" s="4"/>
    </row>
    <row r="39" spans="1:25" x14ac:dyDescent="0.25">
      <c r="A39" s="8">
        <v>30</v>
      </c>
      <c r="B39" s="9"/>
      <c r="C39" s="5"/>
      <c r="D39" s="5"/>
      <c r="E39" s="5"/>
      <c r="F39" s="5"/>
      <c r="G39" s="5"/>
      <c r="H39" s="5"/>
      <c r="I39" s="5"/>
      <c r="J39" s="10" t="e">
        <f t="shared" si="0"/>
        <v>#DIV/0!</v>
      </c>
      <c r="K39" s="5"/>
      <c r="L39" s="5"/>
      <c r="M39" s="5"/>
      <c r="N39" s="5"/>
      <c r="O39" s="5"/>
      <c r="P39" s="5"/>
      <c r="Q39" s="11" t="e">
        <f t="shared" si="1"/>
        <v>#DIV/0!</v>
      </c>
      <c r="R39" s="5"/>
      <c r="S39" s="5"/>
      <c r="T39" s="5"/>
      <c r="U39" s="12" t="e">
        <f t="shared" si="2"/>
        <v>#DIV/0!</v>
      </c>
      <c r="V39" s="13" t="e">
        <f t="shared" si="3"/>
        <v>#DIV/0!</v>
      </c>
      <c r="W39" s="14"/>
      <c r="X39" s="15" t="e">
        <f t="shared" si="4"/>
        <v>#DIV/0!</v>
      </c>
      <c r="Y39" s="4"/>
    </row>
    <row r="40" spans="1:25" x14ac:dyDescent="0.25">
      <c r="A40" s="8">
        <v>31</v>
      </c>
      <c r="B40" s="9"/>
      <c r="C40" s="5"/>
      <c r="D40" s="5"/>
      <c r="E40" s="5"/>
      <c r="F40" s="5"/>
      <c r="G40" s="5"/>
      <c r="H40" s="5"/>
      <c r="I40" s="5"/>
      <c r="J40" s="10" t="e">
        <f t="shared" si="0"/>
        <v>#DIV/0!</v>
      </c>
      <c r="K40" s="5"/>
      <c r="L40" s="5"/>
      <c r="M40" s="5"/>
      <c r="N40" s="5"/>
      <c r="O40" s="5"/>
      <c r="P40" s="5"/>
      <c r="Q40" s="11" t="e">
        <f t="shared" si="1"/>
        <v>#DIV/0!</v>
      </c>
      <c r="R40" s="5"/>
      <c r="S40" s="5"/>
      <c r="T40" s="5"/>
      <c r="U40" s="12" t="e">
        <f t="shared" si="2"/>
        <v>#DIV/0!</v>
      </c>
      <c r="V40" s="13" t="e">
        <f t="shared" si="3"/>
        <v>#DIV/0!</v>
      </c>
      <c r="W40" s="14"/>
      <c r="X40" s="15" t="e">
        <f t="shared" si="4"/>
        <v>#DIV/0!</v>
      </c>
      <c r="Y40" s="4"/>
    </row>
    <row r="41" spans="1:25" x14ac:dyDescent="0.25">
      <c r="A41" s="8">
        <v>32</v>
      </c>
      <c r="B41" s="9"/>
      <c r="C41" s="5"/>
      <c r="D41" s="5"/>
      <c r="E41" s="5"/>
      <c r="F41" s="5"/>
      <c r="G41" s="5"/>
      <c r="H41" s="5"/>
      <c r="I41" s="5"/>
      <c r="J41" s="10" t="e">
        <f t="shared" si="0"/>
        <v>#DIV/0!</v>
      </c>
      <c r="K41" s="5"/>
      <c r="L41" s="5"/>
      <c r="M41" s="5"/>
      <c r="N41" s="5"/>
      <c r="O41" s="5"/>
      <c r="P41" s="5"/>
      <c r="Q41" s="11" t="e">
        <f t="shared" si="1"/>
        <v>#DIV/0!</v>
      </c>
      <c r="R41" s="5"/>
      <c r="S41" s="5"/>
      <c r="T41" s="5"/>
      <c r="U41" s="12" t="e">
        <f t="shared" si="2"/>
        <v>#DIV/0!</v>
      </c>
      <c r="V41" s="13" t="e">
        <f t="shared" si="3"/>
        <v>#DIV/0!</v>
      </c>
      <c r="W41" s="14"/>
      <c r="X41" s="15" t="e">
        <f t="shared" si="4"/>
        <v>#DIV/0!</v>
      </c>
      <c r="Y41" s="4"/>
    </row>
    <row r="42" spans="1:25" x14ac:dyDescent="0.25">
      <c r="A42" s="8">
        <v>33</v>
      </c>
      <c r="B42" s="9"/>
      <c r="C42" s="5"/>
      <c r="D42" s="5"/>
      <c r="E42" s="5"/>
      <c r="F42" s="5"/>
      <c r="G42" s="5"/>
      <c r="H42" s="5"/>
      <c r="I42" s="5"/>
      <c r="J42" s="10" t="e">
        <f t="shared" si="0"/>
        <v>#DIV/0!</v>
      </c>
      <c r="K42" s="5"/>
      <c r="L42" s="5"/>
      <c r="M42" s="5"/>
      <c r="N42" s="5"/>
      <c r="O42" s="5"/>
      <c r="P42" s="5"/>
      <c r="Q42" s="11" t="e">
        <f t="shared" si="1"/>
        <v>#DIV/0!</v>
      </c>
      <c r="R42" s="5"/>
      <c r="S42" s="5"/>
      <c r="T42" s="5"/>
      <c r="U42" s="12" t="e">
        <f t="shared" si="2"/>
        <v>#DIV/0!</v>
      </c>
      <c r="V42" s="13" t="e">
        <f t="shared" si="3"/>
        <v>#DIV/0!</v>
      </c>
      <c r="W42" s="14"/>
      <c r="X42" s="15" t="e">
        <f t="shared" si="4"/>
        <v>#DIV/0!</v>
      </c>
      <c r="Y42" s="4"/>
    </row>
    <row r="43" spans="1:25" x14ac:dyDescent="0.25">
      <c r="A43" s="8">
        <v>34</v>
      </c>
      <c r="B43" s="9"/>
      <c r="C43" s="5"/>
      <c r="D43" s="5"/>
      <c r="E43" s="5"/>
      <c r="F43" s="5"/>
      <c r="G43" s="5"/>
      <c r="H43" s="5"/>
      <c r="I43" s="5"/>
      <c r="J43" s="10" t="e">
        <f t="shared" si="0"/>
        <v>#DIV/0!</v>
      </c>
      <c r="K43" s="5"/>
      <c r="L43" s="5"/>
      <c r="M43" s="5"/>
      <c r="N43" s="5"/>
      <c r="O43" s="5"/>
      <c r="P43" s="5"/>
      <c r="Q43" s="11" t="e">
        <f t="shared" si="1"/>
        <v>#DIV/0!</v>
      </c>
      <c r="R43" s="5"/>
      <c r="S43" s="5"/>
      <c r="T43" s="5"/>
      <c r="U43" s="12" t="e">
        <f t="shared" si="2"/>
        <v>#DIV/0!</v>
      </c>
      <c r="V43" s="13" t="e">
        <f t="shared" si="3"/>
        <v>#DIV/0!</v>
      </c>
      <c r="W43" s="14"/>
      <c r="X43" s="15" t="e">
        <f t="shared" si="4"/>
        <v>#DIV/0!</v>
      </c>
      <c r="Y43" s="4"/>
    </row>
    <row r="44" spans="1:25" x14ac:dyDescent="0.25">
      <c r="A44" s="8">
        <v>35</v>
      </c>
      <c r="B44" s="9"/>
      <c r="C44" s="5"/>
      <c r="D44" s="5"/>
      <c r="E44" s="5"/>
      <c r="F44" s="5"/>
      <c r="G44" s="5"/>
      <c r="H44" s="5"/>
      <c r="I44" s="5"/>
      <c r="J44" s="10" t="e">
        <f t="shared" si="0"/>
        <v>#DIV/0!</v>
      </c>
      <c r="K44" s="5"/>
      <c r="L44" s="5"/>
      <c r="M44" s="5"/>
      <c r="N44" s="5"/>
      <c r="O44" s="5"/>
      <c r="P44" s="5"/>
      <c r="Q44" s="11" t="e">
        <f t="shared" si="1"/>
        <v>#DIV/0!</v>
      </c>
      <c r="R44" s="5"/>
      <c r="S44" s="5"/>
      <c r="T44" s="5"/>
      <c r="U44" s="12" t="e">
        <f t="shared" si="2"/>
        <v>#DIV/0!</v>
      </c>
      <c r="V44" s="13" t="e">
        <f t="shared" si="3"/>
        <v>#DIV/0!</v>
      </c>
      <c r="W44" s="14"/>
      <c r="X44" s="15" t="e">
        <f t="shared" si="4"/>
        <v>#DIV/0!</v>
      </c>
      <c r="Y44" s="4"/>
    </row>
  </sheetData>
  <mergeCells count="36">
    <mergeCell ref="C7:D7"/>
    <mergeCell ref="E7:G7"/>
    <mergeCell ref="K7:L7"/>
    <mergeCell ref="Q7:R7"/>
    <mergeCell ref="C2:V2"/>
    <mergeCell ref="C3:V3"/>
    <mergeCell ref="C4:V4"/>
    <mergeCell ref="C5:V5"/>
    <mergeCell ref="C6:V6"/>
    <mergeCell ref="A8:A10"/>
    <mergeCell ref="B8:B9"/>
    <mergeCell ref="C8:J8"/>
    <mergeCell ref="K8:Q8"/>
    <mergeCell ref="R8:U8"/>
    <mergeCell ref="K9:K10"/>
    <mergeCell ref="L9:L10"/>
    <mergeCell ref="M9:M10"/>
    <mergeCell ref="N9:N10"/>
    <mergeCell ref="S9:S10"/>
    <mergeCell ref="T9:T10"/>
    <mergeCell ref="W8:W10"/>
    <mergeCell ref="X8:X10"/>
    <mergeCell ref="C9:C10"/>
    <mergeCell ref="D9:D10"/>
    <mergeCell ref="E9:E10"/>
    <mergeCell ref="F9:F10"/>
    <mergeCell ref="G9:G10"/>
    <mergeCell ref="H9:H10"/>
    <mergeCell ref="I9:I10"/>
    <mergeCell ref="J9:J10"/>
    <mergeCell ref="V8:V10"/>
    <mergeCell ref="U9:U10"/>
    <mergeCell ref="O9:O10"/>
    <mergeCell ref="P9:P10"/>
    <mergeCell ref="Q9:Q10"/>
    <mergeCell ref="R9:R10"/>
  </mergeCells>
  <conditionalFormatting sqref="C11:I21 K11:P44 W11:W44 C22 E22:I22 C23:I27 C28 E28:I28 C29:I44">
    <cfRule type="cellIs" dxfId="13" priority="8" operator="between">
      <formula>4.3</formula>
      <formula>5</formula>
    </cfRule>
    <cfRule type="cellIs" dxfId="12" priority="9" operator="between">
      <formula>3.6</formula>
      <formula>4.299</formula>
    </cfRule>
    <cfRule type="cellIs" dxfId="11" priority="10" operator="between">
      <formula>1</formula>
      <formula>2.99</formula>
    </cfRule>
    <cfRule type="cellIs" dxfId="10" priority="11" operator="between">
      <formula>3</formula>
      <formula>3.599</formula>
    </cfRule>
  </conditionalFormatting>
  <conditionalFormatting sqref="R11:T44">
    <cfRule type="cellIs" dxfId="9" priority="14" operator="between">
      <formula>1</formula>
      <formula>2.9999</formula>
    </cfRule>
  </conditionalFormatting>
  <conditionalFormatting sqref="V11:V44">
    <cfRule type="cellIs" dxfId="8" priority="5" operator="between">
      <formula>4.3</formula>
      <formula>5</formula>
    </cfRule>
    <cfRule type="cellIs" dxfId="7" priority="6" operator="between">
      <formula>3.6</formula>
      <formula>4.29999</formula>
    </cfRule>
    <cfRule type="cellIs" dxfId="6" priority="7" operator="between">
      <formula>3</formula>
      <formula>3.5999</formula>
    </cfRule>
    <cfRule type="cellIs" dxfId="5" priority="13" operator="between">
      <formula>1</formula>
      <formula>2.9999</formula>
    </cfRule>
  </conditionalFormatting>
  <conditionalFormatting sqref="X11:X44">
    <cfRule type="cellIs" dxfId="4" priority="1" operator="between">
      <formula>4.3</formula>
      <formula>5</formula>
    </cfRule>
    <cfRule type="cellIs" dxfId="3" priority="2" operator="between">
      <formula>3.6</formula>
      <formula>4.29999</formula>
    </cfRule>
    <cfRule type="cellIs" dxfId="2" priority="3" operator="between">
      <formula>3</formula>
      <formula>3.5999</formula>
    </cfRule>
    <cfRule type="cellIs" dxfId="1" priority="4" operator="between">
      <formula>1</formula>
      <formula>2.9999</formula>
    </cfRule>
  </conditionalFormatting>
  <conditionalFormatting sqref="Y10:Y44">
    <cfRule type="cellIs" dxfId="0" priority="12" operator="lessThan">
      <formula>30</formula>
    </cfRule>
  </conditionalFormatting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TECNOLOGIA</vt:lpstr>
      <vt:lpstr>INGLES</vt:lpstr>
      <vt:lpstr>EMPRENDIMIENTO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COPETE GARRIDO</dc:creator>
  <cp:lastModifiedBy>NELSON MORA</cp:lastModifiedBy>
  <dcterms:created xsi:type="dcterms:W3CDTF">2024-01-17T03:06:23Z</dcterms:created>
  <dcterms:modified xsi:type="dcterms:W3CDTF">2026-09-16T15:05:16Z</dcterms:modified>
</cp:coreProperties>
</file>